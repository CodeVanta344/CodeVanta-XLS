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WS149\Desktop\"/>
    </mc:Choice>
  </mc:AlternateContent>
  <xr:revisionPtr revIDLastSave="0" documentId="10_ncr:8100000_{D58B405C-005B-42BF-9AC6-68D327042605}" xr6:coauthVersionLast="34" xr6:coauthVersionMax="34" xr10:uidLastSave="{00000000-0000-0000-0000-000000000000}"/>
  <bookViews>
    <workbookView xWindow="0" yWindow="0" windowWidth="20490" windowHeight="7755" tabRatio="944" activeTab="7" xr2:uid="{00000000-000D-0000-FFFF-FFFF00000000}"/>
  </bookViews>
  <sheets>
    <sheet name="Janvier 2018" sheetId="1" r:id="rId1"/>
    <sheet name="Février 2018" sheetId="2" r:id="rId2"/>
    <sheet name="Mars 2018" sheetId="3" r:id="rId3"/>
    <sheet name="Avril 2018" sheetId="4" r:id="rId4"/>
    <sheet name="Mai 2018" sheetId="5" r:id="rId5"/>
    <sheet name="Juin 2018" sheetId="6" r:id="rId6"/>
    <sheet name="Juillet 2018" sheetId="7" r:id="rId7"/>
    <sheet name="Aout 2018" sheetId="8" r:id="rId8"/>
    <sheet name="Septembre 2018" sheetId="9" r:id="rId9"/>
    <sheet name="Octobre 2018" sheetId="10" r:id="rId10"/>
    <sheet name="Novembre 2018" sheetId="11" r:id="rId11"/>
    <sheet name="Décembre 2018" sheetId="12" r:id="rId12"/>
    <sheet name="Cumul 2018" sheetId="13" r:id="rId13"/>
    <sheet name="Feuil1" sheetId="14" r:id="rId14"/>
  </sheets>
  <calcPr calcId="162913"/>
</workbook>
</file>

<file path=xl/calcChain.xml><?xml version="1.0" encoding="utf-8"?>
<calcChain xmlns="http://schemas.openxmlformats.org/spreadsheetml/2006/main">
  <c r="E23" i="12" l="1"/>
  <c r="F23" i="12" s="1"/>
  <c r="G23" i="12" s="1"/>
  <c r="H23" i="12" s="1"/>
  <c r="K23" i="12" s="1"/>
  <c r="L23" i="12" s="1"/>
  <c r="M23" i="12" s="1"/>
  <c r="N23" i="12" s="1"/>
  <c r="O23" i="12" s="1"/>
  <c r="R23" i="12" s="1"/>
  <c r="S23" i="12" s="1"/>
  <c r="T23" i="12" s="1"/>
  <c r="U23" i="12" s="1"/>
  <c r="V23" i="12" s="1"/>
  <c r="Y23" i="12" s="1"/>
  <c r="AA23" i="12" s="1"/>
  <c r="AB23" i="12" s="1"/>
  <c r="AC23" i="12" s="1"/>
  <c r="AF23" i="12" s="1"/>
  <c r="F23" i="11"/>
  <c r="G23" i="11" s="1"/>
  <c r="H23" i="11" s="1"/>
  <c r="I23" i="11" s="1"/>
  <c r="J23" i="11" s="1"/>
  <c r="M23" i="11" s="1"/>
  <c r="N23" i="11" s="1"/>
  <c r="O23" i="11" s="1"/>
  <c r="P23" i="11" s="1"/>
  <c r="Q23" i="11" s="1"/>
  <c r="T23" i="11" s="1"/>
  <c r="U23" i="11" s="1"/>
  <c r="V23" i="11" s="1"/>
  <c r="W23" i="11" s="1"/>
  <c r="X23" i="11" s="1"/>
  <c r="AA23" i="11" s="1"/>
  <c r="AB23" i="11" s="1"/>
  <c r="AC23" i="11" s="1"/>
  <c r="AD23" i="11" s="1"/>
  <c r="AE23" i="11" s="1"/>
  <c r="C23" i="10"/>
  <c r="D23" i="10" s="1"/>
  <c r="E23" i="10" s="1"/>
  <c r="F23" i="10" s="1"/>
  <c r="I23" i="10" s="1"/>
  <c r="J23" i="10" s="1"/>
  <c r="K23" i="10" s="1"/>
  <c r="L23" i="10" s="1"/>
  <c r="M23" i="10" s="1"/>
  <c r="P23" i="10" s="1"/>
  <c r="Q23" i="10" s="1"/>
  <c r="R23" i="10" s="1"/>
  <c r="S23" i="10" s="1"/>
  <c r="T23" i="10" s="1"/>
  <c r="W23" i="10" s="1"/>
  <c r="X23" i="10" s="1"/>
  <c r="Y23" i="10" s="1"/>
  <c r="Z23" i="10" s="1"/>
  <c r="AA23" i="10" s="1"/>
  <c r="AD23" i="10" s="1"/>
  <c r="AE23" i="10" s="1"/>
  <c r="AF23" i="10" s="1"/>
  <c r="E23" i="9"/>
  <c r="F23" i="9" s="1"/>
  <c r="G23" i="9" s="1"/>
  <c r="H23" i="9" s="1"/>
  <c r="K23" i="9" s="1"/>
  <c r="L23" i="9" s="1"/>
  <c r="M23" i="9" s="1"/>
  <c r="N23" i="9" s="1"/>
  <c r="O23" i="9" s="1"/>
  <c r="R23" i="9" s="1"/>
  <c r="S23" i="9" s="1"/>
  <c r="T23" i="9" s="1"/>
  <c r="U23" i="9" s="1"/>
  <c r="V23" i="9" s="1"/>
  <c r="Y23" i="9" s="1"/>
  <c r="Z23" i="9" s="1"/>
  <c r="AA23" i="9" s="1"/>
  <c r="AB23" i="9" s="1"/>
  <c r="AC23" i="9" s="1"/>
  <c r="C23" i="8"/>
  <c r="D23" i="8" s="1"/>
  <c r="G23" i="8" s="1"/>
  <c r="H23" i="8" s="1"/>
  <c r="I23" i="8" s="1"/>
  <c r="J23" i="8" s="1"/>
  <c r="K23" i="8" s="1"/>
  <c r="N23" i="8" s="1"/>
  <c r="O23" i="8" s="1"/>
  <c r="Q23" i="8" s="1"/>
  <c r="R23" i="8" s="1"/>
  <c r="U23" i="8" s="1"/>
  <c r="V23" i="8" s="1"/>
  <c r="W23" i="8" s="1"/>
  <c r="X23" i="8" s="1"/>
  <c r="Y23" i="8" s="1"/>
  <c r="AB23" i="8" s="1"/>
  <c r="AC23" i="8" s="1"/>
  <c r="AD23" i="8" s="1"/>
  <c r="AE23" i="8" s="1"/>
  <c r="AF23" i="8" s="1"/>
  <c r="D23" i="7"/>
  <c r="E23" i="7" s="1"/>
  <c r="F23" i="7" s="1"/>
  <c r="G23" i="7" s="1"/>
  <c r="J23" i="7" s="1"/>
  <c r="K23" i="7" s="1"/>
  <c r="L23" i="7" s="1"/>
  <c r="M23" i="7" s="1"/>
  <c r="N23" i="7" s="1"/>
  <c r="Q23" i="7" s="1"/>
  <c r="R23" i="7" s="1"/>
  <c r="S23" i="7" s="1"/>
  <c r="T23" i="7" s="1"/>
  <c r="U23" i="7" s="1"/>
  <c r="X23" i="7" s="1"/>
  <c r="Y23" i="7" s="1"/>
  <c r="Z23" i="7" s="1"/>
  <c r="AA23" i="7" s="1"/>
  <c r="AB23" i="7" s="1"/>
  <c r="AE23" i="7" s="1"/>
  <c r="AF23" i="7" s="1"/>
  <c r="E23" i="6"/>
  <c r="F23" i="6" s="1"/>
  <c r="G23" i="6" s="1"/>
  <c r="H23" i="6" s="1"/>
  <c r="I23" i="6" s="1"/>
  <c r="L23" i="6" s="1"/>
  <c r="M23" i="6" s="1"/>
  <c r="N23" i="6" s="1"/>
  <c r="O23" i="6" s="1"/>
  <c r="P23" i="6" s="1"/>
  <c r="S23" i="6" s="1"/>
  <c r="T23" i="6" s="1"/>
  <c r="U23" i="6" s="1"/>
  <c r="V23" i="6" s="1"/>
  <c r="W23" i="6" s="1"/>
  <c r="Z23" i="6" s="1"/>
  <c r="AA23" i="6" s="1"/>
  <c r="AB23" i="6" s="1"/>
  <c r="AC23" i="6" s="1"/>
  <c r="AD23" i="6" s="1"/>
  <c r="D23" i="5"/>
  <c r="E23" i="5" s="1"/>
  <c r="H23" i="5" s="1"/>
  <c r="J23" i="5" s="1"/>
  <c r="L23" i="5" s="1"/>
  <c r="O23" i="5" s="1"/>
  <c r="P23" i="5" s="1"/>
  <c r="Q23" i="5" s="1"/>
  <c r="R23" i="5" s="1"/>
  <c r="S23" i="5" s="1"/>
  <c r="W23" i="5" s="1"/>
  <c r="X23" i="5" s="1"/>
  <c r="Y23" i="5" s="1"/>
  <c r="Z23" i="5" s="1"/>
  <c r="AC23" i="5" s="1"/>
  <c r="AD23" i="5" s="1"/>
  <c r="AE23" i="5" s="1"/>
  <c r="AF23" i="5" s="1"/>
  <c r="E23" i="4"/>
  <c r="F23" i="4" s="1"/>
  <c r="G23" i="4" s="1"/>
  <c r="J23" i="4" s="1"/>
  <c r="K23" i="4" s="1"/>
  <c r="L23" i="4" s="1"/>
  <c r="M23" i="4" s="1"/>
  <c r="N23" i="4" s="1"/>
  <c r="Q23" i="4" s="1"/>
  <c r="R23" i="4" s="1"/>
  <c r="S23" i="4" s="1"/>
  <c r="T23" i="4" s="1"/>
  <c r="U23" i="4" s="1"/>
  <c r="X23" i="4" s="1"/>
  <c r="Y23" i="4" s="1"/>
  <c r="Z23" i="4" s="1"/>
  <c r="AA23" i="4" s="1"/>
  <c r="AB23" i="4" s="1"/>
  <c r="AE23" i="4" s="1"/>
  <c r="C23" i="3"/>
  <c r="F23" i="3" s="1"/>
  <c r="G23" i="3" s="1"/>
  <c r="H23" i="3" s="1"/>
  <c r="I23" i="3" s="1"/>
  <c r="J23" i="3" s="1"/>
  <c r="M23" i="3" s="1"/>
  <c r="N23" i="3" s="1"/>
  <c r="O23" i="3" s="1"/>
  <c r="P23" i="3" s="1"/>
  <c r="Q23" i="3" s="1"/>
  <c r="T23" i="3" s="1"/>
  <c r="U23" i="3" s="1"/>
  <c r="V23" i="3" s="1"/>
  <c r="W23" i="3" s="1"/>
  <c r="X23" i="3" s="1"/>
  <c r="AA23" i="3" s="1"/>
  <c r="AB23" i="3" s="1"/>
  <c r="AC23" i="3" s="1"/>
  <c r="AD23" i="3" s="1"/>
  <c r="AE23" i="3" s="1"/>
  <c r="C23" i="2"/>
  <c r="F23" i="2" s="1"/>
  <c r="G23" i="2" s="1"/>
  <c r="H23" i="2" s="1"/>
  <c r="I23" i="2" s="1"/>
  <c r="J23" i="2" s="1"/>
  <c r="M23" i="2" s="1"/>
  <c r="N23" i="2" s="1"/>
  <c r="O23" i="2" s="1"/>
  <c r="P23" i="2" s="1"/>
  <c r="Q23" i="2" s="1"/>
  <c r="T23" i="2" s="1"/>
  <c r="U23" i="2" s="1"/>
  <c r="V23" i="2" s="1"/>
  <c r="W23" i="2" s="1"/>
  <c r="X23" i="2" s="1"/>
  <c r="AA23" i="2" s="1"/>
  <c r="AB23" i="2" s="1"/>
  <c r="AC23" i="2" s="1"/>
  <c r="AC24" i="2" s="1"/>
  <c r="D23" i="1"/>
  <c r="E23" i="1" s="1"/>
  <c r="F23" i="1" s="1"/>
  <c r="I23" i="1" s="1"/>
  <c r="J23" i="1" s="1"/>
  <c r="K23" i="1" s="1"/>
  <c r="L23" i="1" s="1"/>
  <c r="M23" i="1" s="1"/>
  <c r="P23" i="1" s="1"/>
  <c r="Q23" i="1" s="1"/>
  <c r="R23" i="1" s="1"/>
  <c r="S23" i="1" s="1"/>
  <c r="T23" i="1" s="1"/>
  <c r="W23" i="1" s="1"/>
  <c r="X23" i="1" s="1"/>
  <c r="Y23" i="1" s="1"/>
  <c r="Z23" i="1" s="1"/>
  <c r="AA23" i="1" s="1"/>
  <c r="AD23" i="1" s="1"/>
  <c r="AE23" i="1" s="1"/>
  <c r="AF23" i="1" s="1"/>
  <c r="E16" i="12" l="1"/>
  <c r="F16" i="12" s="1"/>
  <c r="G16" i="12" s="1"/>
  <c r="H16" i="12" s="1"/>
  <c r="F16" i="11"/>
  <c r="G16" i="11" s="1"/>
  <c r="H16" i="11" s="1"/>
  <c r="I16" i="11" s="1"/>
  <c r="I17" i="11" s="1"/>
  <c r="C16" i="10"/>
  <c r="D16" i="10" s="1"/>
  <c r="E16" i="10" s="1"/>
  <c r="F16" i="10" s="1"/>
  <c r="I16" i="10" s="1"/>
  <c r="J16" i="10" s="1"/>
  <c r="K16" i="10" s="1"/>
  <c r="L16" i="10" s="1"/>
  <c r="M16" i="10" s="1"/>
  <c r="P16" i="10" s="1"/>
  <c r="Q16" i="10" s="1"/>
  <c r="R16" i="10" s="1"/>
  <c r="S16" i="10" s="1"/>
  <c r="T16" i="10" s="1"/>
  <c r="W16" i="10" s="1"/>
  <c r="X16" i="10" s="1"/>
  <c r="Y16" i="10" s="1"/>
  <c r="Z16" i="10" s="1"/>
  <c r="AA16" i="10" s="1"/>
  <c r="AD16" i="10" s="1"/>
  <c r="AE16" i="10" s="1"/>
  <c r="E16" i="9"/>
  <c r="C16" i="8"/>
  <c r="D16" i="7"/>
  <c r="E16" i="6"/>
  <c r="F16" i="6" s="1"/>
  <c r="D16" i="5"/>
  <c r="E16" i="4"/>
  <c r="F16" i="4" s="1"/>
  <c r="G16" i="4" s="1"/>
  <c r="J16" i="4" s="1"/>
  <c r="C16" i="3"/>
  <c r="C16" i="2"/>
  <c r="E9" i="12"/>
  <c r="F9" i="12" s="1"/>
  <c r="F9" i="11"/>
  <c r="G9" i="11" s="1"/>
  <c r="H9" i="11" s="1"/>
  <c r="I9" i="11" s="1"/>
  <c r="J9" i="11" s="1"/>
  <c r="M9" i="11" s="1"/>
  <c r="N9" i="11" s="1"/>
  <c r="O9" i="11" s="1"/>
  <c r="P9" i="11" s="1"/>
  <c r="Q9" i="11" s="1"/>
  <c r="T9" i="11" s="1"/>
  <c r="C9" i="10"/>
  <c r="D9" i="10" s="1"/>
  <c r="E9" i="10" s="1"/>
  <c r="E9" i="9"/>
  <c r="F9" i="9" s="1"/>
  <c r="C9" i="8"/>
  <c r="D9" i="8" s="1"/>
  <c r="G9" i="8" s="1"/>
  <c r="H9" i="8" s="1"/>
  <c r="D9" i="7"/>
  <c r="E9" i="7" s="1"/>
  <c r="E9" i="6"/>
  <c r="F9" i="6" s="1"/>
  <c r="C9" i="5"/>
  <c r="D9" i="5" s="1"/>
  <c r="E9" i="5" s="1"/>
  <c r="E9" i="4"/>
  <c r="F9" i="4" s="1"/>
  <c r="C9" i="3"/>
  <c r="C9" i="2"/>
  <c r="F9" i="2" s="1"/>
  <c r="D16" i="1"/>
  <c r="D9" i="1"/>
  <c r="E9" i="1" s="1"/>
  <c r="F9" i="1" s="1"/>
  <c r="C10" i="1"/>
  <c r="C17" i="1"/>
  <c r="C71" i="2"/>
  <c r="C64" i="2"/>
  <c r="C57" i="2"/>
  <c r="C50" i="2"/>
  <c r="C44" i="2"/>
  <c r="C45" i="2" s="1"/>
  <c r="C37" i="2"/>
  <c r="C30" i="2"/>
  <c r="C24" i="2"/>
  <c r="C71" i="3"/>
  <c r="C64" i="3"/>
  <c r="C65" i="3" s="1"/>
  <c r="C57" i="3"/>
  <c r="C50" i="3"/>
  <c r="B44" i="3"/>
  <c r="C44" i="3" s="1"/>
  <c r="C37" i="3"/>
  <c r="C30" i="3"/>
  <c r="C31" i="3" s="1"/>
  <c r="C24" i="3"/>
  <c r="F24" i="3"/>
  <c r="E71" i="4"/>
  <c r="E64" i="4"/>
  <c r="E65" i="4" s="1"/>
  <c r="E57" i="4"/>
  <c r="E58" i="4" s="1"/>
  <c r="E50" i="4"/>
  <c r="E51" i="4" s="1"/>
  <c r="E44" i="4"/>
  <c r="E37" i="4"/>
  <c r="E38" i="4" s="1"/>
  <c r="E30" i="4"/>
  <c r="E24" i="4"/>
  <c r="E17" i="4"/>
  <c r="D71" i="5"/>
  <c r="D64" i="5"/>
  <c r="D65" i="5" s="1"/>
  <c r="D57" i="5"/>
  <c r="D50" i="5"/>
  <c r="C44" i="5"/>
  <c r="D37" i="5"/>
  <c r="E37" i="5" s="1"/>
  <c r="H37" i="5" s="1"/>
  <c r="H38" i="5" s="1"/>
  <c r="D30" i="5"/>
  <c r="D24" i="5"/>
  <c r="E71" i="6"/>
  <c r="E72" i="6" s="1"/>
  <c r="E64" i="6"/>
  <c r="E65" i="6" s="1"/>
  <c r="E57" i="6"/>
  <c r="E50" i="6"/>
  <c r="F50" i="6" s="1"/>
  <c r="G50" i="6" s="1"/>
  <c r="G51" i="6" s="1"/>
  <c r="B44" i="6"/>
  <c r="E37" i="6"/>
  <c r="E30" i="6"/>
  <c r="D71" i="7"/>
  <c r="D72" i="7" s="1"/>
  <c r="D64" i="7"/>
  <c r="D57" i="7"/>
  <c r="D58" i="7" s="1"/>
  <c r="D50" i="7"/>
  <c r="C44" i="7"/>
  <c r="D37" i="7"/>
  <c r="D30" i="7"/>
  <c r="D24" i="7"/>
  <c r="C71" i="8"/>
  <c r="C64" i="8"/>
  <c r="C57" i="8"/>
  <c r="C50" i="8"/>
  <c r="C44" i="8"/>
  <c r="D44" i="8" s="1"/>
  <c r="D45" i="8" s="1"/>
  <c r="B37" i="8"/>
  <c r="C37" i="8" s="1"/>
  <c r="C38" i="8" s="1"/>
  <c r="C30" i="8"/>
  <c r="C24" i="8"/>
  <c r="E72" i="9"/>
  <c r="E73" i="9" s="1"/>
  <c r="E65" i="9"/>
  <c r="E58" i="9"/>
  <c r="F58" i="9" s="1"/>
  <c r="E50" i="9"/>
  <c r="D44" i="9"/>
  <c r="E44" i="9" s="1"/>
  <c r="F44" i="9" s="1"/>
  <c r="E37" i="9"/>
  <c r="E38" i="9" s="1"/>
  <c r="E30" i="9"/>
  <c r="E31" i="9" s="1"/>
  <c r="C72" i="10"/>
  <c r="C65" i="10"/>
  <c r="C58" i="10"/>
  <c r="C50" i="10"/>
  <c r="C44" i="10"/>
  <c r="C37" i="10"/>
  <c r="C30" i="10"/>
  <c r="F17" i="10"/>
  <c r="J17" i="10"/>
  <c r="P17" i="10"/>
  <c r="Q17" i="10"/>
  <c r="W17" i="10"/>
  <c r="X17" i="10"/>
  <c r="AD17" i="10"/>
  <c r="G10" i="11"/>
  <c r="M10" i="11"/>
  <c r="Q10" i="11"/>
  <c r="F72" i="11"/>
  <c r="F65" i="11"/>
  <c r="F58" i="11"/>
  <c r="F50" i="11"/>
  <c r="C44" i="11"/>
  <c r="F37" i="11"/>
  <c r="F30" i="11"/>
  <c r="F24" i="11"/>
  <c r="G24" i="11"/>
  <c r="E72" i="12"/>
  <c r="D73" i="12"/>
  <c r="E65" i="12"/>
  <c r="E66" i="12" s="1"/>
  <c r="D66" i="12"/>
  <c r="E58" i="12"/>
  <c r="D59" i="12"/>
  <c r="E50" i="12"/>
  <c r="D51" i="12"/>
  <c r="E44" i="12"/>
  <c r="F44" i="12" s="1"/>
  <c r="G44" i="12" s="1"/>
  <c r="H44" i="12" s="1"/>
  <c r="K44" i="12" s="1"/>
  <c r="L44" i="12" s="1"/>
  <c r="M44" i="12" s="1"/>
  <c r="N44" i="12" s="1"/>
  <c r="O44" i="12" s="1"/>
  <c r="R44" i="12" s="1"/>
  <c r="S44" i="12" s="1"/>
  <c r="T44" i="12" s="1"/>
  <c r="U44" i="12" s="1"/>
  <c r="V44" i="12" s="1"/>
  <c r="Y44" i="12" s="1"/>
  <c r="AA44" i="12" s="1"/>
  <c r="AB44" i="12" s="1"/>
  <c r="AC44" i="12" s="1"/>
  <c r="AF44" i="12" s="1"/>
  <c r="AF45" i="12" s="1"/>
  <c r="D45" i="12"/>
  <c r="E37" i="12"/>
  <c r="E38" i="12" s="1"/>
  <c r="D38" i="12"/>
  <c r="E30" i="12"/>
  <c r="D31" i="12"/>
  <c r="E24" i="12"/>
  <c r="F24" i="12"/>
  <c r="D24" i="12"/>
  <c r="E17" i="12"/>
  <c r="F17" i="12"/>
  <c r="D17" i="12"/>
  <c r="D10" i="12"/>
  <c r="C73" i="11"/>
  <c r="C66" i="11"/>
  <c r="C59" i="11"/>
  <c r="C51" i="11"/>
  <c r="C38" i="11"/>
  <c r="C31" i="11"/>
  <c r="C24" i="11"/>
  <c r="C17" i="11"/>
  <c r="C10" i="11"/>
  <c r="B73" i="10"/>
  <c r="B66" i="10"/>
  <c r="B59" i="10"/>
  <c r="B51" i="10"/>
  <c r="B45" i="10"/>
  <c r="B38" i="10"/>
  <c r="B31" i="10"/>
  <c r="B24" i="10"/>
  <c r="B17" i="10"/>
  <c r="B10" i="10"/>
  <c r="D73" i="9"/>
  <c r="D66" i="9"/>
  <c r="D59" i="9"/>
  <c r="D51" i="9"/>
  <c r="D38" i="9"/>
  <c r="D31" i="9"/>
  <c r="D24" i="9"/>
  <c r="D17" i="9"/>
  <c r="D10" i="9"/>
  <c r="B72" i="8"/>
  <c r="B65" i="8"/>
  <c r="B58" i="8"/>
  <c r="B51" i="8"/>
  <c r="B45" i="8"/>
  <c r="B31" i="8"/>
  <c r="B24" i="8"/>
  <c r="B17" i="8"/>
  <c r="B10" i="8"/>
  <c r="C72" i="7"/>
  <c r="C65" i="7"/>
  <c r="C58" i="7"/>
  <c r="C51" i="7"/>
  <c r="C38" i="7"/>
  <c r="C31" i="7"/>
  <c r="C24" i="7"/>
  <c r="C17" i="7"/>
  <c r="C10" i="7"/>
  <c r="B72" i="6"/>
  <c r="B65" i="6"/>
  <c r="B58" i="6"/>
  <c r="B51" i="6"/>
  <c r="B38" i="6"/>
  <c r="B31" i="6"/>
  <c r="B24" i="6"/>
  <c r="B17" i="6"/>
  <c r="B10" i="6"/>
  <c r="C72" i="5"/>
  <c r="C65" i="5"/>
  <c r="C58" i="5"/>
  <c r="C51" i="5"/>
  <c r="C38" i="5"/>
  <c r="C31" i="5"/>
  <c r="C24" i="5"/>
  <c r="C17" i="5"/>
  <c r="D72" i="4"/>
  <c r="D65" i="4"/>
  <c r="D58" i="4"/>
  <c r="D51" i="4"/>
  <c r="D45" i="4"/>
  <c r="D38" i="4"/>
  <c r="D31" i="4"/>
  <c r="D24" i="4"/>
  <c r="D17" i="4"/>
  <c r="D10" i="4"/>
  <c r="B72" i="3"/>
  <c r="B65" i="3"/>
  <c r="B58" i="3"/>
  <c r="B51" i="3"/>
  <c r="B38" i="3"/>
  <c r="B31" i="3"/>
  <c r="B24" i="3"/>
  <c r="B17" i="3"/>
  <c r="B10" i="3"/>
  <c r="B72" i="2"/>
  <c r="B65" i="2"/>
  <c r="B58" i="2"/>
  <c r="B51" i="2"/>
  <c r="B45" i="2"/>
  <c r="B38" i="2"/>
  <c r="B31" i="2"/>
  <c r="B24" i="2"/>
  <c r="B17" i="2"/>
  <c r="B10" i="2"/>
  <c r="D37" i="1"/>
  <c r="E37" i="1" s="1"/>
  <c r="F37" i="1" s="1"/>
  <c r="D44" i="1"/>
  <c r="E44" i="1" s="1"/>
  <c r="D50" i="1"/>
  <c r="D51" i="1" s="1"/>
  <c r="D57" i="1"/>
  <c r="D58" i="1" s="1"/>
  <c r="D64" i="1"/>
  <c r="D65" i="1" s="1"/>
  <c r="D71" i="1"/>
  <c r="D72" i="1" s="1"/>
  <c r="C72" i="1"/>
  <c r="C65" i="1"/>
  <c r="C58" i="1"/>
  <c r="C51" i="1"/>
  <c r="C45" i="1"/>
  <c r="C38" i="1"/>
  <c r="D30" i="1"/>
  <c r="D31" i="1" s="1"/>
  <c r="C31" i="1"/>
  <c r="AF24" i="1"/>
  <c r="F24" i="1"/>
  <c r="R24" i="1"/>
  <c r="S24" i="1"/>
  <c r="AE24" i="1"/>
  <c r="C24" i="1"/>
  <c r="AG3" i="12"/>
  <c r="AH3" i="10"/>
  <c r="AG3" i="9"/>
  <c r="AF3" i="11"/>
  <c r="AG4" i="8"/>
  <c r="AH4" i="7"/>
  <c r="AG3" i="6"/>
  <c r="AG3" i="5"/>
  <c r="AG4" i="4"/>
  <c r="AH4" i="3"/>
  <c r="AE4" i="2"/>
  <c r="AH3" i="1"/>
  <c r="B54" i="13"/>
  <c r="B62" i="13"/>
  <c r="I14" i="14"/>
  <c r="J14" i="14" s="1"/>
  <c r="F50" i="14"/>
  <c r="B48" i="14"/>
  <c r="F44" i="14"/>
  <c r="B41" i="14"/>
  <c r="F36" i="14"/>
  <c r="B34" i="14"/>
  <c r="F31" i="14"/>
  <c r="B28" i="14"/>
  <c r="F23" i="14"/>
  <c r="B20" i="14"/>
  <c r="F16" i="14"/>
  <c r="B14" i="14"/>
  <c r="F10" i="14"/>
  <c r="B7" i="14"/>
  <c r="G17" i="12" l="1"/>
  <c r="D10" i="10"/>
  <c r="E10" i="4"/>
  <c r="D45" i="9"/>
  <c r="D10" i="1"/>
  <c r="G9" i="4"/>
  <c r="J9" i="4" s="1"/>
  <c r="J10" i="4" s="1"/>
  <c r="F10" i="4"/>
  <c r="D38" i="1"/>
  <c r="E64" i="5"/>
  <c r="D10" i="8"/>
  <c r="F37" i="9"/>
  <c r="G37" i="9" s="1"/>
  <c r="H37" i="9" s="1"/>
  <c r="B38" i="8"/>
  <c r="AA17" i="10"/>
  <c r="T17" i="10"/>
  <c r="L17" i="10"/>
  <c r="E17" i="10"/>
  <c r="E17" i="6"/>
  <c r="D10" i="5"/>
  <c r="D45" i="1"/>
  <c r="H17" i="11"/>
  <c r="Z17" i="10"/>
  <c r="R17" i="10"/>
  <c r="K17" i="10"/>
  <c r="D17" i="10"/>
  <c r="G10" i="8"/>
  <c r="AB45" i="12"/>
  <c r="M45" i="12"/>
  <c r="E10" i="9"/>
  <c r="E10" i="6"/>
  <c r="F64" i="6"/>
  <c r="G64" i="6" s="1"/>
  <c r="H64" i="6" s="1"/>
  <c r="E64" i="1"/>
  <c r="E65" i="1" s="1"/>
  <c r="AA45" i="12"/>
  <c r="K45" i="12"/>
  <c r="F30" i="9"/>
  <c r="G30" i="9" s="1"/>
  <c r="G44" i="8"/>
  <c r="H44" i="8" s="1"/>
  <c r="E51" i="6"/>
  <c r="O6" i="14"/>
  <c r="S45" i="12"/>
  <c r="P6" i="14"/>
  <c r="M14" i="14"/>
  <c r="T9" i="14" s="1"/>
  <c r="I15" i="14"/>
  <c r="P14" i="14" s="1"/>
  <c r="J11" i="14" s="1"/>
  <c r="T45" i="12"/>
  <c r="E45" i="12"/>
  <c r="E71" i="7"/>
  <c r="F71" i="7" s="1"/>
  <c r="D38" i="5"/>
  <c r="F57" i="4"/>
  <c r="F58" i="4" s="1"/>
  <c r="F44" i="2"/>
  <c r="F45" i="2" s="1"/>
  <c r="E10" i="1"/>
  <c r="U6" i="14"/>
  <c r="T6" i="14"/>
  <c r="AF16" i="10"/>
  <c r="AF17" i="10" s="1"/>
  <c r="AE17" i="10"/>
  <c r="F9" i="10"/>
  <c r="E10" i="10"/>
  <c r="O11" i="14"/>
  <c r="S9" i="14"/>
  <c r="K6" i="14"/>
  <c r="L6" i="14"/>
  <c r="R6" i="14"/>
  <c r="N6" i="14"/>
  <c r="AH18" i="12"/>
  <c r="AH21" i="12" s="1"/>
  <c r="G17" i="11"/>
  <c r="P10" i="11"/>
  <c r="J10" i="11"/>
  <c r="F10" i="11"/>
  <c r="J16" i="11"/>
  <c r="N14" i="14"/>
  <c r="J12" i="14" s="1"/>
  <c r="O14" i="14"/>
  <c r="K10" i="14" s="1"/>
  <c r="L14" i="14"/>
  <c r="J6" i="14"/>
  <c r="Q6" i="14"/>
  <c r="E10" i="12"/>
  <c r="Y45" i="12"/>
  <c r="O45" i="12"/>
  <c r="H45" i="12"/>
  <c r="F17" i="11"/>
  <c r="O10" i="11"/>
  <c r="I10" i="11"/>
  <c r="C10" i="10"/>
  <c r="F72" i="9"/>
  <c r="F73" i="9" s="1"/>
  <c r="D10" i="7"/>
  <c r="F71" i="6"/>
  <c r="F72" i="6" s="1"/>
  <c r="G17" i="4"/>
  <c r="K14" i="14"/>
  <c r="M7" i="14" s="1"/>
  <c r="M6" i="14"/>
  <c r="C10" i="5"/>
  <c r="U45" i="12"/>
  <c r="N45" i="12"/>
  <c r="G45" i="12"/>
  <c r="N10" i="11"/>
  <c r="H10" i="11"/>
  <c r="Y17" i="10"/>
  <c r="S17" i="10"/>
  <c r="M17" i="10"/>
  <c r="I17" i="10"/>
  <c r="C17" i="10"/>
  <c r="E59" i="9"/>
  <c r="C10" i="8"/>
  <c r="F17" i="4"/>
  <c r="C10" i="2"/>
  <c r="F64" i="3"/>
  <c r="F65" i="3" s="1"/>
  <c r="B45" i="3"/>
  <c r="P24" i="1"/>
  <c r="Z24" i="1"/>
  <c r="I24" i="1"/>
  <c r="B21" i="13"/>
  <c r="Y24" i="1"/>
  <c r="J24" i="1"/>
  <c r="X24" i="1"/>
  <c r="L24" i="1"/>
  <c r="D24" i="1"/>
  <c r="F44" i="1"/>
  <c r="E45" i="1"/>
  <c r="K9" i="4"/>
  <c r="E50" i="1"/>
  <c r="E38" i="1"/>
  <c r="F72" i="12"/>
  <c r="G72" i="12" s="1"/>
  <c r="E73" i="12"/>
  <c r="F45" i="9"/>
  <c r="G44" i="9"/>
  <c r="C65" i="2"/>
  <c r="F64" i="2"/>
  <c r="H9" i="5"/>
  <c r="E10" i="5"/>
  <c r="F16" i="2"/>
  <c r="C17" i="2"/>
  <c r="E16" i="5"/>
  <c r="D17" i="5"/>
  <c r="E16" i="7"/>
  <c r="D17" i="7"/>
  <c r="F16" i="9"/>
  <c r="E17" i="9"/>
  <c r="S6" i="14"/>
  <c r="L11" i="14"/>
  <c r="F58" i="12"/>
  <c r="E59" i="12"/>
  <c r="D37" i="8"/>
  <c r="G37" i="8" s="1"/>
  <c r="C65" i="8"/>
  <c r="D64" i="8"/>
  <c r="G64" i="8" s="1"/>
  <c r="E57" i="7"/>
  <c r="E58" i="7" s="1"/>
  <c r="E44" i="6"/>
  <c r="F44" i="6" s="1"/>
  <c r="B45" i="6"/>
  <c r="F57" i="6"/>
  <c r="E58" i="6"/>
  <c r="E65" i="5"/>
  <c r="H64" i="5"/>
  <c r="H65" i="5" s="1"/>
  <c r="C72" i="2"/>
  <c r="F71" i="2"/>
  <c r="F72" i="2" s="1"/>
  <c r="F9" i="3"/>
  <c r="C10" i="3"/>
  <c r="F16" i="3"/>
  <c r="C17" i="3"/>
  <c r="K11" i="14"/>
  <c r="I37" i="1"/>
  <c r="J37" i="1" s="1"/>
  <c r="F38" i="1"/>
  <c r="F30" i="12"/>
  <c r="G30" i="12" s="1"/>
  <c r="H30" i="12" s="1"/>
  <c r="K30" i="12" s="1"/>
  <c r="L30" i="12" s="1"/>
  <c r="M30" i="12" s="1"/>
  <c r="N30" i="12" s="1"/>
  <c r="O30" i="12" s="1"/>
  <c r="R30" i="12" s="1"/>
  <c r="S30" i="12" s="1"/>
  <c r="T30" i="12" s="1"/>
  <c r="U30" i="12" s="1"/>
  <c r="V30" i="12" s="1"/>
  <c r="Y30" i="12" s="1"/>
  <c r="AA30" i="12" s="1"/>
  <c r="AB30" i="12" s="1"/>
  <c r="AC30" i="12" s="1"/>
  <c r="AF30" i="12" s="1"/>
  <c r="AF31" i="12" s="1"/>
  <c r="E31" i="12"/>
  <c r="E51" i="12"/>
  <c r="F50" i="12"/>
  <c r="F51" i="12" s="1"/>
  <c r="H24" i="11"/>
  <c r="D38" i="7"/>
  <c r="E37" i="7"/>
  <c r="F37" i="7" s="1"/>
  <c r="D44" i="5"/>
  <c r="D45" i="5" s="1"/>
  <c r="C45" i="5"/>
  <c r="E31" i="4"/>
  <c r="F30" i="4"/>
  <c r="G30" i="4" s="1"/>
  <c r="Q11" i="14"/>
  <c r="AD24" i="1"/>
  <c r="T24" i="1"/>
  <c r="M24" i="1"/>
  <c r="E30" i="1"/>
  <c r="E31" i="1" s="1"/>
  <c r="D44" i="7"/>
  <c r="E44" i="7" s="1"/>
  <c r="C45" i="7"/>
  <c r="C58" i="3"/>
  <c r="F57" i="3"/>
  <c r="F58" i="3" s="1"/>
  <c r="E16" i="1"/>
  <c r="F16" i="1" s="1"/>
  <c r="D17" i="1"/>
  <c r="G9" i="12"/>
  <c r="F10" i="12"/>
  <c r="K16" i="12"/>
  <c r="H17" i="12"/>
  <c r="AC45" i="12"/>
  <c r="V45" i="12"/>
  <c r="R45" i="12"/>
  <c r="L45" i="12"/>
  <c r="F45" i="12"/>
  <c r="H50" i="6"/>
  <c r="H51" i="6" s="1"/>
  <c r="J37" i="5"/>
  <c r="C38" i="2"/>
  <c r="F37" i="2"/>
  <c r="G9" i="2"/>
  <c r="G10" i="2" s="1"/>
  <c r="F10" i="2"/>
  <c r="G9" i="6"/>
  <c r="F10" i="6"/>
  <c r="I9" i="8"/>
  <c r="H10" i="8"/>
  <c r="G9" i="9"/>
  <c r="F10" i="9"/>
  <c r="G16" i="6"/>
  <c r="F17" i="6"/>
  <c r="C51" i="8"/>
  <c r="D50" i="8"/>
  <c r="D31" i="5"/>
  <c r="E30" i="5"/>
  <c r="H30" i="5" s="1"/>
  <c r="F9" i="7"/>
  <c r="E10" i="7"/>
  <c r="K16" i="4"/>
  <c r="J17" i="4"/>
  <c r="D16" i="8"/>
  <c r="C17" i="8"/>
  <c r="D65" i="10"/>
  <c r="C66" i="10"/>
  <c r="D71" i="8"/>
  <c r="C72" i="8"/>
  <c r="D65" i="7"/>
  <c r="E64" i="7"/>
  <c r="E38" i="6"/>
  <c r="F37" i="6"/>
  <c r="E72" i="4"/>
  <c r="F71" i="4"/>
  <c r="P12" i="14"/>
  <c r="R11" i="14"/>
  <c r="P9" i="14"/>
  <c r="N11" i="14"/>
  <c r="S11" i="14"/>
  <c r="P11" i="14"/>
  <c r="K9" i="14"/>
  <c r="U11" i="14"/>
  <c r="E71" i="1"/>
  <c r="F65" i="12"/>
  <c r="G50" i="11"/>
  <c r="F51" i="11"/>
  <c r="G65" i="11"/>
  <c r="F66" i="11"/>
  <c r="D30" i="10"/>
  <c r="C31" i="10"/>
  <c r="D58" i="10"/>
  <c r="C59" i="10"/>
  <c r="E24" i="7"/>
  <c r="E72" i="7"/>
  <c r="D37" i="10"/>
  <c r="C38" i="10"/>
  <c r="N12" i="14"/>
  <c r="C24" i="10"/>
  <c r="D50" i="10"/>
  <c r="C51" i="10"/>
  <c r="E24" i="6"/>
  <c r="R12" i="14"/>
  <c r="O9" i="14"/>
  <c r="U9" i="14"/>
  <c r="T11" i="14"/>
  <c r="AA24" i="1"/>
  <c r="W24" i="1"/>
  <c r="Q24" i="1"/>
  <c r="K24" i="1"/>
  <c r="E24" i="1"/>
  <c r="E57" i="1"/>
  <c r="F37" i="12"/>
  <c r="I24" i="11"/>
  <c r="F44" i="11"/>
  <c r="C45" i="11"/>
  <c r="G58" i="11"/>
  <c r="F59" i="11"/>
  <c r="G72" i="11"/>
  <c r="F73" i="11"/>
  <c r="D44" i="10"/>
  <c r="C45" i="10"/>
  <c r="D72" i="10"/>
  <c r="C73" i="10"/>
  <c r="E24" i="9"/>
  <c r="E31" i="6"/>
  <c r="F30" i="6"/>
  <c r="G24" i="3"/>
  <c r="F31" i="11"/>
  <c r="G30" i="11"/>
  <c r="F38" i="11"/>
  <c r="G37" i="11"/>
  <c r="G72" i="9"/>
  <c r="E30" i="7"/>
  <c r="D31" i="7"/>
  <c r="C51" i="3"/>
  <c r="F50" i="3"/>
  <c r="U9" i="11"/>
  <c r="T10" i="11"/>
  <c r="F59" i="9"/>
  <c r="G58" i="9"/>
  <c r="D57" i="8"/>
  <c r="C58" i="8"/>
  <c r="D58" i="5"/>
  <c r="E57" i="5"/>
  <c r="E45" i="9"/>
  <c r="E66" i="9"/>
  <c r="F65" i="9"/>
  <c r="C31" i="8"/>
  <c r="D30" i="8"/>
  <c r="C45" i="8"/>
  <c r="D51" i="7"/>
  <c r="E50" i="7"/>
  <c r="F57" i="7"/>
  <c r="E24" i="5"/>
  <c r="E45" i="4"/>
  <c r="F44" i="4"/>
  <c r="F24" i="2"/>
  <c r="E51" i="9"/>
  <c r="F50" i="9"/>
  <c r="D24" i="8"/>
  <c r="F31" i="4"/>
  <c r="F51" i="6"/>
  <c r="E38" i="5"/>
  <c r="D51" i="5"/>
  <c r="E50" i="5"/>
  <c r="F37" i="4"/>
  <c r="F64" i="4"/>
  <c r="D72" i="5"/>
  <c r="E71" i="5"/>
  <c r="C72" i="3"/>
  <c r="F71" i="3"/>
  <c r="F50" i="4"/>
  <c r="F30" i="3"/>
  <c r="C51" i="2"/>
  <c r="F50" i="2"/>
  <c r="F37" i="3"/>
  <c r="C38" i="3"/>
  <c r="C31" i="2"/>
  <c r="F30" i="2"/>
  <c r="F44" i="3"/>
  <c r="C45" i="3"/>
  <c r="C58" i="2"/>
  <c r="F57" i="2"/>
  <c r="E17" i="1"/>
  <c r="I9" i="1"/>
  <c r="F10" i="1"/>
  <c r="F65" i="6" l="1"/>
  <c r="G10" i="4"/>
  <c r="G65" i="6"/>
  <c r="N9" i="14"/>
  <c r="G57" i="3"/>
  <c r="G58" i="3" s="1"/>
  <c r="I38" i="1"/>
  <c r="N31" i="12"/>
  <c r="F38" i="9"/>
  <c r="G71" i="2"/>
  <c r="G72" i="2" s="1"/>
  <c r="D38" i="8"/>
  <c r="L31" i="12"/>
  <c r="G71" i="6"/>
  <c r="G72" i="6" s="1"/>
  <c r="E38" i="7"/>
  <c r="M9" i="14"/>
  <c r="R31" i="12"/>
  <c r="Y31" i="12"/>
  <c r="Q9" i="14"/>
  <c r="G45" i="8"/>
  <c r="G57" i="4"/>
  <c r="G58" i="4" s="1"/>
  <c r="I50" i="6"/>
  <c r="L50" i="6" s="1"/>
  <c r="G64" i="3"/>
  <c r="G65" i="3" s="1"/>
  <c r="AB31" i="12"/>
  <c r="F31" i="9"/>
  <c r="E45" i="6"/>
  <c r="O7" i="14"/>
  <c r="R7" i="14"/>
  <c r="G38" i="9"/>
  <c r="D45" i="7"/>
  <c r="O12" i="14"/>
  <c r="N7" i="14"/>
  <c r="D65" i="8"/>
  <c r="U12" i="14"/>
  <c r="Q12" i="14"/>
  <c r="J64" i="5"/>
  <c r="U31" i="12"/>
  <c r="K12" i="14"/>
  <c r="G31" i="12"/>
  <c r="F30" i="1"/>
  <c r="H31" i="12"/>
  <c r="M11" i="14"/>
  <c r="V11" i="14" s="1"/>
  <c r="G44" i="2"/>
  <c r="R9" i="14"/>
  <c r="J9" i="14"/>
  <c r="L9" i="14"/>
  <c r="F64" i="1"/>
  <c r="I64" i="1" s="1"/>
  <c r="R8" i="14"/>
  <c r="P8" i="14"/>
  <c r="M8" i="14"/>
  <c r="K8" i="14"/>
  <c r="U8" i="14"/>
  <c r="S8" i="14"/>
  <c r="O8" i="14"/>
  <c r="J8" i="14"/>
  <c r="Q8" i="14"/>
  <c r="L8" i="14"/>
  <c r="N8" i="14"/>
  <c r="T8" i="14"/>
  <c r="M16" i="11"/>
  <c r="J17" i="11"/>
  <c r="E44" i="5"/>
  <c r="H44" i="5" s="1"/>
  <c r="V6" i="14"/>
  <c r="I21" i="14" s="1"/>
  <c r="I22" i="14" s="1"/>
  <c r="S7" i="14"/>
  <c r="U7" i="14"/>
  <c r="Q7" i="14"/>
  <c r="R10" i="14"/>
  <c r="J10" i="14"/>
  <c r="O10" i="14"/>
  <c r="U10" i="14"/>
  <c r="Q10" i="14"/>
  <c r="P10" i="14"/>
  <c r="T10" i="14"/>
  <c r="N10" i="14"/>
  <c r="S10" i="14"/>
  <c r="L10" i="14"/>
  <c r="L7" i="14"/>
  <c r="T12" i="14"/>
  <c r="L12" i="14"/>
  <c r="M12" i="14"/>
  <c r="S12" i="14"/>
  <c r="G50" i="12"/>
  <c r="G51" i="12" s="1"/>
  <c r="M10" i="14"/>
  <c r="T7" i="14"/>
  <c r="K7" i="14"/>
  <c r="J7" i="14"/>
  <c r="P7" i="14"/>
  <c r="I9" i="10"/>
  <c r="F10" i="10"/>
  <c r="G16" i="8"/>
  <c r="D17" i="8"/>
  <c r="G9" i="7"/>
  <c r="F10" i="7"/>
  <c r="H16" i="5"/>
  <c r="E17" i="5"/>
  <c r="H9" i="2"/>
  <c r="F38" i="2"/>
  <c r="G37" i="2"/>
  <c r="J24" i="11"/>
  <c r="G57" i="6"/>
  <c r="F58" i="6"/>
  <c r="G58" i="12"/>
  <c r="F59" i="12"/>
  <c r="F65" i="2"/>
  <c r="G64" i="2"/>
  <c r="L9" i="4"/>
  <c r="K10" i="4"/>
  <c r="E31" i="5"/>
  <c r="K31" i="12"/>
  <c r="V31" i="12"/>
  <c r="M31" i="12"/>
  <c r="T31" i="12"/>
  <c r="L16" i="4"/>
  <c r="K17" i="4"/>
  <c r="G10" i="9"/>
  <c r="H9" i="9"/>
  <c r="H9" i="6"/>
  <c r="G10" i="6"/>
  <c r="I64" i="6"/>
  <c r="H65" i="6"/>
  <c r="G16" i="3"/>
  <c r="F17" i="3"/>
  <c r="F10" i="3"/>
  <c r="G9" i="3"/>
  <c r="F16" i="7"/>
  <c r="E17" i="7"/>
  <c r="G16" i="2"/>
  <c r="F17" i="2"/>
  <c r="F50" i="1"/>
  <c r="E51" i="1"/>
  <c r="H16" i="6"/>
  <c r="G17" i="6"/>
  <c r="J9" i="8"/>
  <c r="I10" i="8"/>
  <c r="G16" i="9"/>
  <c r="F17" i="9"/>
  <c r="J9" i="5"/>
  <c r="H10" i="5"/>
  <c r="H72" i="12"/>
  <c r="G73" i="12"/>
  <c r="G50" i="8"/>
  <c r="D51" i="8"/>
  <c r="H9" i="12"/>
  <c r="G10" i="12"/>
  <c r="H44" i="9"/>
  <c r="G45" i="9"/>
  <c r="O31" i="12"/>
  <c r="F31" i="12"/>
  <c r="AC31" i="12"/>
  <c r="F73" i="12"/>
  <c r="S31" i="12"/>
  <c r="AA31" i="12"/>
  <c r="L37" i="5"/>
  <c r="J38" i="5"/>
  <c r="L16" i="12"/>
  <c r="K17" i="12"/>
  <c r="K37" i="1"/>
  <c r="J38" i="1"/>
  <c r="I44" i="1"/>
  <c r="F45" i="1"/>
  <c r="F51" i="2"/>
  <c r="G50" i="2"/>
  <c r="F31" i="3"/>
  <c r="G30" i="3"/>
  <c r="F38" i="4"/>
  <c r="G37" i="4"/>
  <c r="F51" i="9"/>
  <c r="G50" i="9"/>
  <c r="E51" i="7"/>
  <c r="F50" i="7"/>
  <c r="J57" i="4"/>
  <c r="K37" i="9"/>
  <c r="H38" i="9"/>
  <c r="G30" i="6"/>
  <c r="F31" i="6"/>
  <c r="F24" i="7"/>
  <c r="G51" i="11"/>
  <c r="H50" i="11"/>
  <c r="F65" i="1"/>
  <c r="F72" i="4"/>
  <c r="G71" i="4"/>
  <c r="F64" i="7"/>
  <c r="E65" i="7"/>
  <c r="F38" i="3"/>
  <c r="G37" i="3"/>
  <c r="E72" i="5"/>
  <c r="H71" i="5"/>
  <c r="D31" i="8"/>
  <c r="G30" i="8"/>
  <c r="D58" i="8"/>
  <c r="G57" i="8"/>
  <c r="E31" i="7"/>
  <c r="F30" i="7"/>
  <c r="H45" i="8"/>
  <c r="I44" i="8"/>
  <c r="D73" i="10"/>
  <c r="E72" i="10"/>
  <c r="F45" i="11"/>
  <c r="G44" i="11"/>
  <c r="G71" i="7"/>
  <c r="F72" i="7"/>
  <c r="E72" i="1"/>
  <c r="F71" i="1"/>
  <c r="D66" i="10"/>
  <c r="E65" i="10"/>
  <c r="J9" i="1"/>
  <c r="I10" i="1"/>
  <c r="H71" i="2"/>
  <c r="F31" i="2"/>
  <c r="G30" i="2"/>
  <c r="H57" i="3"/>
  <c r="F24" i="4"/>
  <c r="G24" i="8"/>
  <c r="G24" i="2"/>
  <c r="G57" i="7"/>
  <c r="F58" i="7"/>
  <c r="E58" i="5"/>
  <c r="H57" i="5"/>
  <c r="F51" i="3"/>
  <c r="G50" i="3"/>
  <c r="J65" i="5"/>
  <c r="L64" i="5"/>
  <c r="H37" i="11"/>
  <c r="G38" i="11"/>
  <c r="H24" i="3"/>
  <c r="D51" i="10"/>
  <c r="E50" i="10"/>
  <c r="G31" i="9"/>
  <c r="H30" i="9"/>
  <c r="D59" i="10"/>
  <c r="E58" i="10"/>
  <c r="G66" i="11"/>
  <c r="H65" i="11"/>
  <c r="F66" i="12"/>
  <c r="G65" i="12"/>
  <c r="F31" i="1"/>
  <c r="I30" i="1"/>
  <c r="G37" i="6"/>
  <c r="F38" i="6"/>
  <c r="F58" i="2"/>
  <c r="G57" i="2"/>
  <c r="G31" i="4"/>
  <c r="J30" i="4"/>
  <c r="F45" i="4"/>
  <c r="G44" i="4"/>
  <c r="H58" i="9"/>
  <c r="G59" i="9"/>
  <c r="G73" i="9"/>
  <c r="H72" i="9"/>
  <c r="H30" i="11"/>
  <c r="G31" i="11"/>
  <c r="E58" i="1"/>
  <c r="F57" i="1"/>
  <c r="D24" i="10"/>
  <c r="D38" i="10"/>
  <c r="E37" i="10"/>
  <c r="D31" i="10"/>
  <c r="E30" i="10"/>
  <c r="I16" i="1"/>
  <c r="F17" i="1"/>
  <c r="F51" i="4"/>
  <c r="G50" i="4"/>
  <c r="E51" i="5"/>
  <c r="H50" i="5"/>
  <c r="H31" i="5"/>
  <c r="J30" i="5"/>
  <c r="G73" i="11"/>
  <c r="H72" i="11"/>
  <c r="I9" i="2"/>
  <c r="H10" i="2"/>
  <c r="G44" i="3"/>
  <c r="F45" i="3"/>
  <c r="F72" i="3"/>
  <c r="G71" i="3"/>
  <c r="F65" i="4"/>
  <c r="G64" i="4"/>
  <c r="H24" i="5"/>
  <c r="H37" i="8"/>
  <c r="G38" i="8"/>
  <c r="F66" i="9"/>
  <c r="G65" i="9"/>
  <c r="F38" i="7"/>
  <c r="G37" i="7"/>
  <c r="V9" i="11"/>
  <c r="U10" i="11"/>
  <c r="G65" i="8"/>
  <c r="H64" i="8"/>
  <c r="E45" i="7"/>
  <c r="F44" i="7"/>
  <c r="F24" i="9"/>
  <c r="D45" i="10"/>
  <c r="E44" i="10"/>
  <c r="G59" i="11"/>
  <c r="H58" i="11"/>
  <c r="F38" i="12"/>
  <c r="G37" i="12"/>
  <c r="F24" i="6"/>
  <c r="G44" i="6"/>
  <c r="F45" i="6"/>
  <c r="G24" i="12"/>
  <c r="D72" i="8"/>
  <c r="G71" i="8"/>
  <c r="I51" i="6" l="1"/>
  <c r="H71" i="6"/>
  <c r="H50" i="12"/>
  <c r="H64" i="3"/>
  <c r="I64" i="3" s="1"/>
  <c r="V10" i="14"/>
  <c r="X10" i="14" s="1"/>
  <c r="Y10" i="14" s="1"/>
  <c r="V9" i="14"/>
  <c r="X9" i="14" s="1"/>
  <c r="Y9" i="14" s="1"/>
  <c r="V12" i="14"/>
  <c r="V7" i="14"/>
  <c r="X7" i="14" s="1"/>
  <c r="Y7" i="14" s="1"/>
  <c r="H44" i="2"/>
  <c r="G45" i="2"/>
  <c r="E45" i="5"/>
  <c r="J9" i="10"/>
  <c r="I10" i="10"/>
  <c r="N16" i="11"/>
  <c r="M17" i="11"/>
  <c r="V8" i="14"/>
  <c r="H65" i="3"/>
  <c r="H45" i="9"/>
  <c r="K44" i="9"/>
  <c r="G51" i="8"/>
  <c r="H50" i="8"/>
  <c r="L9" i="5"/>
  <c r="J10" i="5"/>
  <c r="I16" i="6"/>
  <c r="H17" i="6"/>
  <c r="H16" i="2"/>
  <c r="G17" i="2"/>
  <c r="I65" i="6"/>
  <c r="L64" i="6"/>
  <c r="M9" i="4"/>
  <c r="L10" i="4"/>
  <c r="H58" i="12"/>
  <c r="G59" i="12"/>
  <c r="M24" i="11"/>
  <c r="M16" i="12"/>
  <c r="L17" i="12"/>
  <c r="G65" i="2"/>
  <c r="H64" i="2"/>
  <c r="G38" i="2"/>
  <c r="H37" i="2"/>
  <c r="J16" i="5"/>
  <c r="H17" i="5"/>
  <c r="J9" i="7"/>
  <c r="G10" i="7"/>
  <c r="K9" i="12"/>
  <c r="H10" i="12"/>
  <c r="K72" i="12"/>
  <c r="H73" i="12"/>
  <c r="H16" i="9"/>
  <c r="G17" i="9"/>
  <c r="K9" i="8"/>
  <c r="J10" i="8"/>
  <c r="I50" i="1"/>
  <c r="F51" i="1"/>
  <c r="G16" i="7"/>
  <c r="F17" i="7"/>
  <c r="H16" i="3"/>
  <c r="G17" i="3"/>
  <c r="I9" i="6"/>
  <c r="H10" i="6"/>
  <c r="M16" i="4"/>
  <c r="L17" i="4"/>
  <c r="G58" i="6"/>
  <c r="H57" i="6"/>
  <c r="J44" i="1"/>
  <c r="I45" i="1"/>
  <c r="L37" i="1"/>
  <c r="K38" i="1"/>
  <c r="L38" i="5"/>
  <c r="O37" i="5"/>
  <c r="H9" i="3"/>
  <c r="G10" i="3"/>
  <c r="K9" i="9"/>
  <c r="H10" i="9"/>
  <c r="H16" i="8"/>
  <c r="G17" i="8"/>
  <c r="G38" i="12"/>
  <c r="H37" i="12"/>
  <c r="H24" i="12"/>
  <c r="I58" i="11"/>
  <c r="H59" i="11"/>
  <c r="G24" i="9"/>
  <c r="I64" i="8"/>
  <c r="H65" i="8"/>
  <c r="G66" i="9"/>
  <c r="H65" i="9"/>
  <c r="J24" i="5"/>
  <c r="G72" i="3"/>
  <c r="H71" i="3"/>
  <c r="I72" i="11"/>
  <c r="H73" i="11"/>
  <c r="L30" i="5"/>
  <c r="J31" i="5"/>
  <c r="G51" i="4"/>
  <c r="J50" i="4"/>
  <c r="F30" i="10"/>
  <c r="E31" i="10"/>
  <c r="E24" i="10"/>
  <c r="G45" i="4"/>
  <c r="J44" i="4"/>
  <c r="G58" i="2"/>
  <c r="H57" i="2"/>
  <c r="I31" i="1"/>
  <c r="J30" i="1"/>
  <c r="I65" i="11"/>
  <c r="H66" i="11"/>
  <c r="M50" i="6"/>
  <c r="L51" i="6"/>
  <c r="X12" i="14"/>
  <c r="Y12" i="14" s="1"/>
  <c r="O21" i="14"/>
  <c r="O22" i="14" s="1"/>
  <c r="H38" i="11"/>
  <c r="I37" i="11"/>
  <c r="H45" i="5"/>
  <c r="J44" i="5"/>
  <c r="G31" i="6"/>
  <c r="H30" i="6"/>
  <c r="H71" i="8"/>
  <c r="G72" i="8"/>
  <c r="G24" i="6"/>
  <c r="W9" i="11"/>
  <c r="V10" i="11"/>
  <c r="H44" i="3"/>
  <c r="G45" i="3"/>
  <c r="H31" i="11"/>
  <c r="I30" i="11"/>
  <c r="H59" i="9"/>
  <c r="K58" i="9"/>
  <c r="F50" i="10"/>
  <c r="E51" i="10"/>
  <c r="I24" i="3"/>
  <c r="L65" i="5"/>
  <c r="O64" i="5"/>
  <c r="H24" i="2"/>
  <c r="H58" i="3"/>
  <c r="I57" i="3"/>
  <c r="F72" i="10"/>
  <c r="E73" i="10"/>
  <c r="G30" i="7"/>
  <c r="F31" i="7"/>
  <c r="G31" i="8"/>
  <c r="H30" i="8"/>
  <c r="H37" i="3"/>
  <c r="G38" i="3"/>
  <c r="I65" i="1"/>
  <c r="J64" i="1"/>
  <c r="G24" i="7"/>
  <c r="F51" i="7"/>
  <c r="G50" i="7"/>
  <c r="G51" i="9"/>
  <c r="H50" i="9"/>
  <c r="G31" i="3"/>
  <c r="H30" i="3"/>
  <c r="F44" i="10"/>
  <c r="E45" i="10"/>
  <c r="G44" i="7"/>
  <c r="F45" i="7"/>
  <c r="J37" i="7"/>
  <c r="G38" i="7"/>
  <c r="G65" i="4"/>
  <c r="J64" i="4"/>
  <c r="H51" i="5"/>
  <c r="J50" i="5"/>
  <c r="F37" i="10"/>
  <c r="E38" i="10"/>
  <c r="F58" i="1"/>
  <c r="I57" i="1"/>
  <c r="H73" i="9"/>
  <c r="K72" i="9"/>
  <c r="J31" i="4"/>
  <c r="K30" i="4"/>
  <c r="G66" i="12"/>
  <c r="H65" i="12"/>
  <c r="F58" i="10"/>
  <c r="E59" i="10"/>
  <c r="K30" i="9"/>
  <c r="H31" i="9"/>
  <c r="G58" i="7"/>
  <c r="J57" i="7"/>
  <c r="K9" i="1"/>
  <c r="J10" i="1"/>
  <c r="G72" i="7"/>
  <c r="J71" i="7"/>
  <c r="F65" i="7"/>
  <c r="G64" i="7"/>
  <c r="K38" i="9"/>
  <c r="L37" i="9"/>
  <c r="X11" i="14"/>
  <c r="Y11" i="14" s="1"/>
  <c r="N21" i="14"/>
  <c r="N22" i="14" s="1"/>
  <c r="G45" i="6"/>
  <c r="H44" i="6"/>
  <c r="H38" i="8"/>
  <c r="I37" i="8"/>
  <c r="I10" i="2"/>
  <c r="J9" i="2"/>
  <c r="I17" i="1"/>
  <c r="J16" i="1"/>
  <c r="G38" i="6"/>
  <c r="H37" i="6"/>
  <c r="H51" i="12"/>
  <c r="K50" i="12"/>
  <c r="G51" i="3"/>
  <c r="H50" i="3"/>
  <c r="H58" i="5"/>
  <c r="J57" i="5"/>
  <c r="H24" i="8"/>
  <c r="G24" i="4"/>
  <c r="G31" i="2"/>
  <c r="H30" i="2"/>
  <c r="H72" i="2"/>
  <c r="I71" i="2"/>
  <c r="F65" i="10"/>
  <c r="E66" i="10"/>
  <c r="F72" i="1"/>
  <c r="I71" i="1"/>
  <c r="H44" i="11"/>
  <c r="G45" i="11"/>
  <c r="J44" i="8"/>
  <c r="I45" i="8"/>
  <c r="H57" i="8"/>
  <c r="G58" i="8"/>
  <c r="H72" i="5"/>
  <c r="J71" i="5"/>
  <c r="G72" i="4"/>
  <c r="J71" i="4"/>
  <c r="I50" i="11"/>
  <c r="H51" i="11"/>
  <c r="J58" i="4"/>
  <c r="K57" i="4"/>
  <c r="G38" i="4"/>
  <c r="J37" i="4"/>
  <c r="G51" i="2"/>
  <c r="H50" i="2"/>
  <c r="L21" i="14" l="1"/>
  <c r="L22" i="14" s="1"/>
  <c r="H72" i="6"/>
  <c r="I71" i="6"/>
  <c r="M21" i="14"/>
  <c r="M22" i="14" s="1"/>
  <c r="J21" i="14"/>
  <c r="J22" i="14" s="1"/>
  <c r="H45" i="2"/>
  <c r="I44" i="2"/>
  <c r="X8" i="14"/>
  <c r="Y8" i="14" s="1"/>
  <c r="K21" i="14"/>
  <c r="K22" i="14" s="1"/>
  <c r="K9" i="10"/>
  <c r="J10" i="10"/>
  <c r="V13" i="14"/>
  <c r="X13" i="14" s="1"/>
  <c r="Y13" i="14" s="1"/>
  <c r="O16" i="11"/>
  <c r="N17" i="11"/>
  <c r="I57" i="6"/>
  <c r="H58" i="6"/>
  <c r="H38" i="2"/>
  <c r="I37" i="2"/>
  <c r="L65" i="6"/>
  <c r="M64" i="6"/>
  <c r="L44" i="9"/>
  <c r="K45" i="9"/>
  <c r="I9" i="3"/>
  <c r="H10" i="3"/>
  <c r="M37" i="1"/>
  <c r="L38" i="1"/>
  <c r="I10" i="6"/>
  <c r="L9" i="6"/>
  <c r="J16" i="7"/>
  <c r="G17" i="7"/>
  <c r="N9" i="8"/>
  <c r="K10" i="8"/>
  <c r="L72" i="12"/>
  <c r="K73" i="12"/>
  <c r="K9" i="7"/>
  <c r="J10" i="7"/>
  <c r="N16" i="12"/>
  <c r="M17" i="12"/>
  <c r="K58" i="12"/>
  <c r="H59" i="12"/>
  <c r="L16" i="6"/>
  <c r="I17" i="6"/>
  <c r="O9" i="5"/>
  <c r="L10" i="5"/>
  <c r="P37" i="5"/>
  <c r="O38" i="5"/>
  <c r="H65" i="2"/>
  <c r="I64" i="2"/>
  <c r="I50" i="8"/>
  <c r="H51" i="8"/>
  <c r="I65" i="3"/>
  <c r="J64" i="3"/>
  <c r="H17" i="8"/>
  <c r="I16" i="8"/>
  <c r="L9" i="9"/>
  <c r="K10" i="9"/>
  <c r="K44" i="1"/>
  <c r="J45" i="1"/>
  <c r="N16" i="4"/>
  <c r="M17" i="4"/>
  <c r="I16" i="3"/>
  <c r="H17" i="3"/>
  <c r="J50" i="1"/>
  <c r="I51" i="1"/>
  <c r="K16" i="9"/>
  <c r="H17" i="9"/>
  <c r="L9" i="12"/>
  <c r="K10" i="12"/>
  <c r="L16" i="5"/>
  <c r="J17" i="5"/>
  <c r="N24" i="11"/>
  <c r="N9" i="4"/>
  <c r="M10" i="4"/>
  <c r="I16" i="2"/>
  <c r="H17" i="2"/>
  <c r="I24" i="8"/>
  <c r="H51" i="3"/>
  <c r="I50" i="3"/>
  <c r="K16" i="1"/>
  <c r="J17" i="1"/>
  <c r="I38" i="8"/>
  <c r="J37" i="8"/>
  <c r="H45" i="6"/>
  <c r="I44" i="6"/>
  <c r="J72" i="7"/>
  <c r="K71" i="7"/>
  <c r="H66" i="12"/>
  <c r="K65" i="12"/>
  <c r="I58" i="1"/>
  <c r="J57" i="1"/>
  <c r="H31" i="3"/>
  <c r="I30" i="3"/>
  <c r="J65" i="1"/>
  <c r="K64" i="1"/>
  <c r="I58" i="3"/>
  <c r="J57" i="3"/>
  <c r="K59" i="9"/>
  <c r="L58" i="9"/>
  <c r="H31" i="6"/>
  <c r="I30" i="6"/>
  <c r="J37" i="11"/>
  <c r="I38" i="11"/>
  <c r="J31" i="1"/>
  <c r="K30" i="1"/>
  <c r="H72" i="3"/>
  <c r="I71" i="3"/>
  <c r="H66" i="9"/>
  <c r="K65" i="9"/>
  <c r="H38" i="12"/>
  <c r="K37" i="12"/>
  <c r="H45" i="11"/>
  <c r="I44" i="11"/>
  <c r="K31" i="9"/>
  <c r="L30" i="9"/>
  <c r="F45" i="10"/>
  <c r="I44" i="10"/>
  <c r="X9" i="11"/>
  <c r="W10" i="11"/>
  <c r="H72" i="8"/>
  <c r="I71" i="8"/>
  <c r="M51" i="6"/>
  <c r="N50" i="6"/>
  <c r="F31" i="10"/>
  <c r="I30" i="10"/>
  <c r="L31" i="5"/>
  <c r="O30" i="5"/>
  <c r="H24" i="9"/>
  <c r="H51" i="2"/>
  <c r="I50" i="2"/>
  <c r="K58" i="4"/>
  <c r="L57" i="4"/>
  <c r="J72" i="5"/>
  <c r="L71" i="5"/>
  <c r="I72" i="1"/>
  <c r="J71" i="1"/>
  <c r="I72" i="2"/>
  <c r="J71" i="2"/>
  <c r="J24" i="4"/>
  <c r="L57" i="5"/>
  <c r="J58" i="5"/>
  <c r="K51" i="12"/>
  <c r="L50" i="12"/>
  <c r="G65" i="7"/>
  <c r="J64" i="7"/>
  <c r="J58" i="7"/>
  <c r="K57" i="7"/>
  <c r="K31" i="4"/>
  <c r="L30" i="4"/>
  <c r="L72" i="9"/>
  <c r="K73" i="9"/>
  <c r="J65" i="4"/>
  <c r="K64" i="4"/>
  <c r="K50" i="9"/>
  <c r="H51" i="9"/>
  <c r="O65" i="5"/>
  <c r="P64" i="5"/>
  <c r="H24" i="6"/>
  <c r="H58" i="2"/>
  <c r="I57" i="2"/>
  <c r="J51" i="4"/>
  <c r="K50" i="4"/>
  <c r="J38" i="4"/>
  <c r="K37" i="4"/>
  <c r="J72" i="4"/>
  <c r="K71" i="4"/>
  <c r="H31" i="2"/>
  <c r="I30" i="2"/>
  <c r="H38" i="6"/>
  <c r="I37" i="6"/>
  <c r="M9" i="2"/>
  <c r="J10" i="2"/>
  <c r="M37" i="9"/>
  <c r="L38" i="9"/>
  <c r="J51" i="5"/>
  <c r="L50" i="5"/>
  <c r="G51" i="7"/>
  <c r="J50" i="7"/>
  <c r="H31" i="8"/>
  <c r="I30" i="8"/>
  <c r="I24" i="2"/>
  <c r="J24" i="3"/>
  <c r="J30" i="11"/>
  <c r="I31" i="11"/>
  <c r="L44" i="5"/>
  <c r="J45" i="5"/>
  <c r="J45" i="4"/>
  <c r="K44" i="4"/>
  <c r="K24" i="12"/>
  <c r="H58" i="8"/>
  <c r="I57" i="8"/>
  <c r="F66" i="10"/>
  <c r="I65" i="10"/>
  <c r="L9" i="1"/>
  <c r="K10" i="1"/>
  <c r="J38" i="7"/>
  <c r="K37" i="7"/>
  <c r="F73" i="10"/>
  <c r="I72" i="10"/>
  <c r="I51" i="11"/>
  <c r="J50" i="11"/>
  <c r="J45" i="8"/>
  <c r="K44" i="8"/>
  <c r="F59" i="10"/>
  <c r="I58" i="10"/>
  <c r="F38" i="10"/>
  <c r="I37" i="10"/>
  <c r="G45" i="7"/>
  <c r="J44" i="7"/>
  <c r="J24" i="7"/>
  <c r="H38" i="3"/>
  <c r="I37" i="3"/>
  <c r="G31" i="7"/>
  <c r="J30" i="7"/>
  <c r="F51" i="10"/>
  <c r="I50" i="10"/>
  <c r="I44" i="3"/>
  <c r="H45" i="3"/>
  <c r="I66" i="11"/>
  <c r="J65" i="11"/>
  <c r="F24" i="10"/>
  <c r="I73" i="11"/>
  <c r="J72" i="11"/>
  <c r="L24" i="5"/>
  <c r="I65" i="8"/>
  <c r="J64" i="8"/>
  <c r="I59" i="11"/>
  <c r="J58" i="11"/>
  <c r="I72" i="6" l="1"/>
  <c r="L71" i="6"/>
  <c r="I45" i="2"/>
  <c r="J44" i="2"/>
  <c r="L9" i="10"/>
  <c r="K10" i="10"/>
  <c r="P16" i="11"/>
  <c r="O17" i="11"/>
  <c r="J65" i="3"/>
  <c r="M64" i="3"/>
  <c r="I38" i="2"/>
  <c r="J37" i="2"/>
  <c r="J16" i="2"/>
  <c r="I17" i="2"/>
  <c r="M9" i="12"/>
  <c r="L10" i="12"/>
  <c r="Q16" i="4"/>
  <c r="N17" i="4"/>
  <c r="P9" i="5"/>
  <c r="O10" i="5"/>
  <c r="L9" i="7"/>
  <c r="K10" i="7"/>
  <c r="J16" i="8"/>
  <c r="I17" i="8"/>
  <c r="M65" i="6"/>
  <c r="N64" i="6"/>
  <c r="I65" i="2"/>
  <c r="J64" i="2"/>
  <c r="M9" i="6"/>
  <c r="L10" i="6"/>
  <c r="O24" i="11"/>
  <c r="K50" i="1"/>
  <c r="J51" i="1"/>
  <c r="M9" i="9"/>
  <c r="L10" i="9"/>
  <c r="L58" i="12"/>
  <c r="K59" i="12"/>
  <c r="O9" i="8"/>
  <c r="N10" i="8"/>
  <c r="J9" i="3"/>
  <c r="I10" i="3"/>
  <c r="L45" i="9"/>
  <c r="M44" i="9"/>
  <c r="Q9" i="4"/>
  <c r="N10" i="4"/>
  <c r="L17" i="5"/>
  <c r="O16" i="5"/>
  <c r="L16" i="9"/>
  <c r="K17" i="9"/>
  <c r="J16" i="3"/>
  <c r="I17" i="3"/>
  <c r="L44" i="1"/>
  <c r="K45" i="1"/>
  <c r="I51" i="8"/>
  <c r="J50" i="8"/>
  <c r="P38" i="5"/>
  <c r="Q37" i="5"/>
  <c r="M16" i="6"/>
  <c r="L17" i="6"/>
  <c r="O16" i="12"/>
  <c r="N17" i="12"/>
  <c r="M72" i="12"/>
  <c r="L73" i="12"/>
  <c r="K16" i="7"/>
  <c r="J17" i="7"/>
  <c r="P37" i="1"/>
  <c r="M38" i="1"/>
  <c r="I58" i="6"/>
  <c r="L57" i="6"/>
  <c r="M72" i="11"/>
  <c r="J73" i="11"/>
  <c r="K24" i="7"/>
  <c r="J37" i="10"/>
  <c r="I38" i="10"/>
  <c r="J72" i="10"/>
  <c r="I73" i="10"/>
  <c r="J57" i="8"/>
  <c r="I58" i="8"/>
  <c r="J51" i="7"/>
  <c r="K50" i="7"/>
  <c r="K38" i="4"/>
  <c r="L37" i="4"/>
  <c r="L31" i="4"/>
  <c r="M30" i="4"/>
  <c r="I51" i="2"/>
  <c r="J50" i="2"/>
  <c r="J44" i="3"/>
  <c r="I45" i="3"/>
  <c r="M9" i="1"/>
  <c r="L10" i="1"/>
  <c r="J31" i="11"/>
  <c r="M30" i="11"/>
  <c r="N9" i="2"/>
  <c r="M10" i="2"/>
  <c r="K51" i="9"/>
  <c r="L50" i="9"/>
  <c r="L58" i="5"/>
  <c r="O57" i="5"/>
  <c r="AA9" i="11"/>
  <c r="X10" i="11"/>
  <c r="J38" i="11"/>
  <c r="M37" i="11"/>
  <c r="K17" i="1"/>
  <c r="L16" i="1"/>
  <c r="J24" i="8"/>
  <c r="K64" i="8"/>
  <c r="J65" i="8"/>
  <c r="M65" i="11"/>
  <c r="J66" i="11"/>
  <c r="K30" i="7"/>
  <c r="J31" i="7"/>
  <c r="N44" i="8"/>
  <c r="K45" i="8"/>
  <c r="K45" i="4"/>
  <c r="L44" i="4"/>
  <c r="J24" i="2"/>
  <c r="I31" i="2"/>
  <c r="J30" i="2"/>
  <c r="I58" i="2"/>
  <c r="J57" i="2"/>
  <c r="K65" i="4"/>
  <c r="L64" i="4"/>
  <c r="K58" i="7"/>
  <c r="L57" i="7"/>
  <c r="J72" i="2"/>
  <c r="M71" i="2"/>
  <c r="L72" i="5"/>
  <c r="O71" i="5"/>
  <c r="P30" i="5"/>
  <c r="O31" i="5"/>
  <c r="O50" i="6"/>
  <c r="N51" i="6"/>
  <c r="M30" i="9"/>
  <c r="L31" i="9"/>
  <c r="K38" i="12"/>
  <c r="L37" i="12"/>
  <c r="I72" i="3"/>
  <c r="J71" i="3"/>
  <c r="L59" i="9"/>
  <c r="M58" i="9"/>
  <c r="K65" i="1"/>
  <c r="L64" i="1"/>
  <c r="J58" i="1"/>
  <c r="K57" i="1"/>
  <c r="I45" i="6"/>
  <c r="L44" i="6"/>
  <c r="M58" i="11"/>
  <c r="J59" i="11"/>
  <c r="O24" i="5"/>
  <c r="I24" i="10"/>
  <c r="J50" i="10"/>
  <c r="I51" i="10"/>
  <c r="J37" i="3"/>
  <c r="I38" i="3"/>
  <c r="K44" i="7"/>
  <c r="J45" i="7"/>
  <c r="J58" i="10"/>
  <c r="I59" i="10"/>
  <c r="M50" i="11"/>
  <c r="J51" i="11"/>
  <c r="L37" i="7"/>
  <c r="K38" i="7"/>
  <c r="J65" i="10"/>
  <c r="I66" i="10"/>
  <c r="L24" i="12"/>
  <c r="M24" i="3"/>
  <c r="I31" i="8"/>
  <c r="J30" i="8"/>
  <c r="L51" i="5"/>
  <c r="O50" i="5"/>
  <c r="I38" i="6"/>
  <c r="L37" i="6"/>
  <c r="K72" i="4"/>
  <c r="L71" i="4"/>
  <c r="K51" i="4"/>
  <c r="L50" i="4"/>
  <c r="I24" i="6"/>
  <c r="P65" i="5"/>
  <c r="Q64" i="5"/>
  <c r="J65" i="7"/>
  <c r="K64" i="7"/>
  <c r="L51" i="12"/>
  <c r="M50" i="12"/>
  <c r="K24" i="4"/>
  <c r="J72" i="1"/>
  <c r="K71" i="1"/>
  <c r="L58" i="4"/>
  <c r="M57" i="4"/>
  <c r="K24" i="9"/>
  <c r="J30" i="10"/>
  <c r="I31" i="10"/>
  <c r="J71" i="8"/>
  <c r="I72" i="8"/>
  <c r="J44" i="10"/>
  <c r="I45" i="10"/>
  <c r="J44" i="11"/>
  <c r="I45" i="11"/>
  <c r="K66" i="9"/>
  <c r="L65" i="9"/>
  <c r="K31" i="1"/>
  <c r="L30" i="1"/>
  <c r="I31" i="6"/>
  <c r="L30" i="6"/>
  <c r="J58" i="3"/>
  <c r="M57" i="3"/>
  <c r="I31" i="3"/>
  <c r="J30" i="3"/>
  <c r="K66" i="12"/>
  <c r="L65" i="12"/>
  <c r="K72" i="7"/>
  <c r="L71" i="7"/>
  <c r="J38" i="8"/>
  <c r="K37" i="8"/>
  <c r="I51" i="3"/>
  <c r="J50" i="3"/>
  <c r="L45" i="5"/>
  <c r="O44" i="5"/>
  <c r="M38" i="9"/>
  <c r="N37" i="9"/>
  <c r="L73" i="9"/>
  <c r="M72" i="9"/>
  <c r="M71" i="6" l="1"/>
  <c r="L72" i="6"/>
  <c r="M44" i="2"/>
  <c r="J45" i="2"/>
  <c r="Q16" i="11"/>
  <c r="P17" i="11"/>
  <c r="M9" i="10"/>
  <c r="L10" i="10"/>
  <c r="R37" i="5"/>
  <c r="Q38" i="5"/>
  <c r="N44" i="9"/>
  <c r="M45" i="9"/>
  <c r="J65" i="2"/>
  <c r="M64" i="2"/>
  <c r="J38" i="2"/>
  <c r="M37" i="2"/>
  <c r="L16" i="7"/>
  <c r="K17" i="7"/>
  <c r="R16" i="12"/>
  <c r="O17" i="12"/>
  <c r="M44" i="1"/>
  <c r="L45" i="1"/>
  <c r="M16" i="9"/>
  <c r="L17" i="9"/>
  <c r="R9" i="4"/>
  <c r="Q10" i="4"/>
  <c r="Q9" i="8"/>
  <c r="O10" i="8"/>
  <c r="N9" i="9"/>
  <c r="M10" i="9"/>
  <c r="P24" i="11"/>
  <c r="K16" i="8"/>
  <c r="J17" i="8"/>
  <c r="P10" i="5"/>
  <c r="Q9" i="5"/>
  <c r="N9" i="12"/>
  <c r="M10" i="12"/>
  <c r="M57" i="6"/>
  <c r="L58" i="6"/>
  <c r="K50" i="8"/>
  <c r="K51" i="8" s="1"/>
  <c r="J51" i="8"/>
  <c r="P16" i="5"/>
  <c r="O17" i="5"/>
  <c r="O64" i="6"/>
  <c r="N65" i="6"/>
  <c r="M65" i="3"/>
  <c r="N64" i="3"/>
  <c r="Q37" i="1"/>
  <c r="P38" i="1"/>
  <c r="N72" i="12"/>
  <c r="M73" i="12"/>
  <c r="N16" i="6"/>
  <c r="M17" i="6"/>
  <c r="M16" i="3"/>
  <c r="J17" i="3"/>
  <c r="J10" i="3"/>
  <c r="M9" i="3"/>
  <c r="M58" i="12"/>
  <c r="L59" i="12"/>
  <c r="L50" i="1"/>
  <c r="K51" i="1"/>
  <c r="N9" i="6"/>
  <c r="M10" i="6"/>
  <c r="M9" i="7"/>
  <c r="L10" i="7"/>
  <c r="R16" i="4"/>
  <c r="Q17" i="4"/>
  <c r="M16" i="2"/>
  <c r="J17" i="2"/>
  <c r="P44" i="5"/>
  <c r="O45" i="5"/>
  <c r="J51" i="3"/>
  <c r="M50" i="3"/>
  <c r="M71" i="7"/>
  <c r="L72" i="7"/>
  <c r="J31" i="3"/>
  <c r="M30" i="3"/>
  <c r="M30" i="6"/>
  <c r="L31" i="6"/>
  <c r="L66" i="9"/>
  <c r="M65" i="9"/>
  <c r="M58" i="4"/>
  <c r="N57" i="4"/>
  <c r="L24" i="4"/>
  <c r="L64" i="7"/>
  <c r="K65" i="7"/>
  <c r="L24" i="6"/>
  <c r="L72" i="4"/>
  <c r="M71" i="4"/>
  <c r="O51" i="5"/>
  <c r="P50" i="5"/>
  <c r="N24" i="3"/>
  <c r="M44" i="6"/>
  <c r="L45" i="6"/>
  <c r="L65" i="1"/>
  <c r="M64" i="1"/>
  <c r="J72" i="3"/>
  <c r="M71" i="3"/>
  <c r="L65" i="4"/>
  <c r="M64" i="4"/>
  <c r="M24" i="2"/>
  <c r="N37" i="11"/>
  <c r="M38" i="11"/>
  <c r="L51" i="9"/>
  <c r="M50" i="9"/>
  <c r="N30" i="11"/>
  <c r="M31" i="11"/>
  <c r="J31" i="10"/>
  <c r="K30" i="10"/>
  <c r="J66" i="10"/>
  <c r="K65" i="10"/>
  <c r="K45" i="7"/>
  <c r="L44" i="7"/>
  <c r="P24" i="5"/>
  <c r="M31" i="9"/>
  <c r="N30" i="9"/>
  <c r="M66" i="11"/>
  <c r="N65" i="11"/>
  <c r="J73" i="10"/>
  <c r="K72" i="10"/>
  <c r="L24" i="7"/>
  <c r="M73" i="9"/>
  <c r="N72" i="9"/>
  <c r="O37" i="9"/>
  <c r="N38" i="9"/>
  <c r="N37" i="8"/>
  <c r="K38" i="8"/>
  <c r="L66" i="12"/>
  <c r="M65" i="12"/>
  <c r="M58" i="3"/>
  <c r="N57" i="3"/>
  <c r="L31" i="1"/>
  <c r="M30" i="1"/>
  <c r="K72" i="1"/>
  <c r="L71" i="1"/>
  <c r="M51" i="12"/>
  <c r="N50" i="12"/>
  <c r="Q65" i="5"/>
  <c r="R64" i="5"/>
  <c r="L51" i="4"/>
  <c r="M50" i="4"/>
  <c r="M37" i="6"/>
  <c r="L38" i="6"/>
  <c r="J31" i="8"/>
  <c r="K30" i="8"/>
  <c r="M24" i="12"/>
  <c r="K58" i="1"/>
  <c r="L57" i="1"/>
  <c r="N58" i="9"/>
  <c r="M59" i="9"/>
  <c r="L38" i="12"/>
  <c r="M37" i="12"/>
  <c r="O72" i="5"/>
  <c r="P71" i="5"/>
  <c r="M57" i="7"/>
  <c r="L58" i="7"/>
  <c r="J58" i="2"/>
  <c r="M57" i="2"/>
  <c r="L45" i="4"/>
  <c r="M44" i="4"/>
  <c r="M16" i="1"/>
  <c r="L17" i="1"/>
  <c r="M31" i="4"/>
  <c r="N30" i="4"/>
  <c r="L38" i="4"/>
  <c r="M37" i="4"/>
  <c r="M72" i="2"/>
  <c r="N71" i="2"/>
  <c r="J31" i="2"/>
  <c r="M30" i="2"/>
  <c r="K24" i="8"/>
  <c r="O58" i="5"/>
  <c r="P57" i="5"/>
  <c r="J51" i="2"/>
  <c r="M50" i="2"/>
  <c r="K51" i="7"/>
  <c r="L50" i="7"/>
  <c r="J45" i="10"/>
  <c r="K44" i="10"/>
  <c r="M51" i="11"/>
  <c r="N50" i="11"/>
  <c r="J51" i="10"/>
  <c r="K50" i="10"/>
  <c r="P31" i="5"/>
  <c r="Q30" i="5"/>
  <c r="N45" i="8"/>
  <c r="O44" i="8"/>
  <c r="M44" i="3"/>
  <c r="J45" i="3"/>
  <c r="J45" i="11"/>
  <c r="M44" i="11"/>
  <c r="J72" i="8"/>
  <c r="K71" i="8"/>
  <c r="L24" i="9"/>
  <c r="L38" i="7"/>
  <c r="M37" i="7"/>
  <c r="J59" i="10"/>
  <c r="K58" i="10"/>
  <c r="J38" i="3"/>
  <c r="M37" i="3"/>
  <c r="J24" i="10"/>
  <c r="M59" i="11"/>
  <c r="N58" i="11"/>
  <c r="O51" i="6"/>
  <c r="P50" i="6"/>
  <c r="K31" i="7"/>
  <c r="L30" i="7"/>
  <c r="K65" i="8"/>
  <c r="N64" i="8"/>
  <c r="AB9" i="11"/>
  <c r="AA10" i="11"/>
  <c r="O9" i="2"/>
  <c r="N10" i="2"/>
  <c r="M10" i="1"/>
  <c r="P9" i="1"/>
  <c r="J58" i="8"/>
  <c r="K57" i="8"/>
  <c r="J38" i="10"/>
  <c r="K37" i="10"/>
  <c r="M73" i="11"/>
  <c r="N72" i="11"/>
  <c r="M72" i="6" l="1"/>
  <c r="N71" i="6"/>
  <c r="M45" i="2"/>
  <c r="N44" i="2"/>
  <c r="P9" i="10"/>
  <c r="M10" i="10"/>
  <c r="Q17" i="11"/>
  <c r="T16" i="11"/>
  <c r="M38" i="2"/>
  <c r="N37" i="2"/>
  <c r="O9" i="6"/>
  <c r="N10" i="6"/>
  <c r="R37" i="1"/>
  <c r="Q38" i="1"/>
  <c r="O65" i="6"/>
  <c r="P64" i="6"/>
  <c r="O9" i="12"/>
  <c r="N10" i="12"/>
  <c r="O9" i="9"/>
  <c r="N10" i="9"/>
  <c r="P44" i="1"/>
  <c r="M45" i="1"/>
  <c r="L17" i="7"/>
  <c r="M16" i="7"/>
  <c r="N45" i="9"/>
  <c r="O44" i="9"/>
  <c r="N9" i="3"/>
  <c r="M10" i="3"/>
  <c r="N65" i="3"/>
  <c r="O64" i="3"/>
  <c r="R9" i="5"/>
  <c r="Q10" i="5"/>
  <c r="M65" i="2"/>
  <c r="N64" i="2"/>
  <c r="S16" i="4"/>
  <c r="R17" i="4"/>
  <c r="N58" i="12"/>
  <c r="M59" i="12"/>
  <c r="O16" i="6"/>
  <c r="N17" i="6"/>
  <c r="N16" i="8"/>
  <c r="K17" i="8"/>
  <c r="S9" i="4"/>
  <c r="R10" i="4"/>
  <c r="N16" i="2"/>
  <c r="M17" i="2"/>
  <c r="N9" i="7"/>
  <c r="M10" i="7"/>
  <c r="M50" i="1"/>
  <c r="L51" i="1"/>
  <c r="N16" i="3"/>
  <c r="M17" i="3"/>
  <c r="O72" i="12"/>
  <c r="N73" i="12"/>
  <c r="Q16" i="5"/>
  <c r="P17" i="5"/>
  <c r="M58" i="6"/>
  <c r="N57" i="6"/>
  <c r="Q24" i="11"/>
  <c r="R9" i="8"/>
  <c r="Q10" i="8"/>
  <c r="N16" i="9"/>
  <c r="M17" i="9"/>
  <c r="S16" i="12"/>
  <c r="R17" i="12"/>
  <c r="R38" i="5"/>
  <c r="S37" i="5"/>
  <c r="L37" i="10"/>
  <c r="K38" i="10"/>
  <c r="Q9" i="1"/>
  <c r="P10" i="1"/>
  <c r="O58" i="11"/>
  <c r="N59" i="11"/>
  <c r="N37" i="3"/>
  <c r="M38" i="3"/>
  <c r="N71" i="8"/>
  <c r="K72" i="8"/>
  <c r="P58" i="5"/>
  <c r="Q57" i="5"/>
  <c r="M38" i="4"/>
  <c r="N37" i="4"/>
  <c r="M38" i="12"/>
  <c r="N37" i="12"/>
  <c r="K31" i="8"/>
  <c r="N30" i="8"/>
  <c r="L72" i="1"/>
  <c r="M71" i="1"/>
  <c r="N58" i="3"/>
  <c r="O57" i="3"/>
  <c r="N44" i="3"/>
  <c r="M45" i="3"/>
  <c r="N73" i="9"/>
  <c r="O72" i="9"/>
  <c r="Q24" i="5"/>
  <c r="M65" i="1"/>
  <c r="P64" i="1"/>
  <c r="M72" i="4"/>
  <c r="N71" i="4"/>
  <c r="M24" i="4"/>
  <c r="M51" i="3"/>
  <c r="N50" i="3"/>
  <c r="O72" i="11"/>
  <c r="N73" i="11"/>
  <c r="M24" i="9"/>
  <c r="L51" i="7"/>
  <c r="M50" i="7"/>
  <c r="N72" i="2"/>
  <c r="O71" i="2"/>
  <c r="N31" i="4"/>
  <c r="Q30" i="4"/>
  <c r="M45" i="4"/>
  <c r="N44" i="4"/>
  <c r="M58" i="2"/>
  <c r="N57" i="2"/>
  <c r="P72" i="5"/>
  <c r="Q71" i="5"/>
  <c r="N24" i="12"/>
  <c r="R65" i="5"/>
  <c r="S64" i="5"/>
  <c r="N51" i="12"/>
  <c r="O50" i="12"/>
  <c r="M31" i="1"/>
  <c r="P30" i="1"/>
  <c r="M66" i="12"/>
  <c r="N65" i="12"/>
  <c r="N31" i="11"/>
  <c r="O30" i="11"/>
  <c r="N38" i="11"/>
  <c r="O37" i="11"/>
  <c r="M30" i="7"/>
  <c r="L31" i="7"/>
  <c r="N37" i="7"/>
  <c r="M38" i="7"/>
  <c r="O50" i="11"/>
  <c r="N51" i="11"/>
  <c r="M51" i="2"/>
  <c r="N50" i="2"/>
  <c r="M31" i="2"/>
  <c r="N30" i="2"/>
  <c r="L58" i="1"/>
  <c r="M57" i="1"/>
  <c r="AC9" i="11"/>
  <c r="AB10" i="11"/>
  <c r="M17" i="1"/>
  <c r="P16" i="1"/>
  <c r="M58" i="7"/>
  <c r="N57" i="7"/>
  <c r="N38" i="8"/>
  <c r="O37" i="8"/>
  <c r="L72" i="10"/>
  <c r="K73" i="10"/>
  <c r="O65" i="11"/>
  <c r="N66" i="11"/>
  <c r="L65" i="10"/>
  <c r="K66" i="10"/>
  <c r="M65" i="4"/>
  <c r="N64" i="4"/>
  <c r="O24" i="3"/>
  <c r="M66" i="9"/>
  <c r="N65" i="9"/>
  <c r="M31" i="3"/>
  <c r="N30" i="3"/>
  <c r="N57" i="8"/>
  <c r="K58" i="8"/>
  <c r="O64" i="8"/>
  <c r="N65" i="8"/>
  <c r="S50" i="6"/>
  <c r="P51" i="6"/>
  <c r="K24" i="10"/>
  <c r="L58" i="10"/>
  <c r="K59" i="10"/>
  <c r="N44" i="11"/>
  <c r="M45" i="11"/>
  <c r="Q44" i="8"/>
  <c r="O45" i="8"/>
  <c r="L50" i="10"/>
  <c r="K51" i="10"/>
  <c r="L44" i="10"/>
  <c r="K45" i="10"/>
  <c r="N24" i="8"/>
  <c r="O10" i="2"/>
  <c r="P9" i="2"/>
  <c r="N59" i="9"/>
  <c r="O58" i="9"/>
  <c r="M38" i="6"/>
  <c r="N37" i="6"/>
  <c r="M24" i="7"/>
  <c r="O30" i="9"/>
  <c r="N31" i="9"/>
  <c r="M44" i="7"/>
  <c r="L45" i="7"/>
  <c r="L30" i="10"/>
  <c r="K31" i="10"/>
  <c r="M51" i="9"/>
  <c r="N50" i="9"/>
  <c r="N24" i="2"/>
  <c r="M72" i="3"/>
  <c r="N71" i="3"/>
  <c r="P51" i="5"/>
  <c r="Q50" i="5"/>
  <c r="N58" i="4"/>
  <c r="Q57" i="4"/>
  <c r="R30" i="5"/>
  <c r="Q31" i="5"/>
  <c r="M51" i="4"/>
  <c r="N50" i="4"/>
  <c r="O38" i="9"/>
  <c r="R37" i="9"/>
  <c r="M45" i="6"/>
  <c r="N44" i="6"/>
  <c r="M24" i="6"/>
  <c r="L65" i="7"/>
  <c r="M64" i="7"/>
  <c r="M31" i="6"/>
  <c r="N30" i="6"/>
  <c r="M72" i="7"/>
  <c r="N71" i="7"/>
  <c r="P45" i="5"/>
  <c r="Q44" i="5"/>
  <c r="O71" i="6" l="1"/>
  <c r="N72" i="6"/>
  <c r="N45" i="2"/>
  <c r="O44" i="2"/>
  <c r="U16" i="11"/>
  <c r="T17" i="11"/>
  <c r="Q9" i="10"/>
  <c r="P10" i="10"/>
  <c r="W37" i="5"/>
  <c r="S38" i="5"/>
  <c r="O65" i="3"/>
  <c r="P64" i="3"/>
  <c r="T16" i="12"/>
  <c r="S17" i="12"/>
  <c r="P50" i="1"/>
  <c r="M51" i="1"/>
  <c r="O16" i="2"/>
  <c r="N17" i="2"/>
  <c r="O58" i="12"/>
  <c r="N59" i="12"/>
  <c r="Q44" i="1"/>
  <c r="P45" i="1"/>
  <c r="P9" i="6"/>
  <c r="O10" i="6"/>
  <c r="N16" i="7"/>
  <c r="M17" i="7"/>
  <c r="S64" i="6"/>
  <c r="P65" i="6"/>
  <c r="N38" i="2"/>
  <c r="O37" i="2"/>
  <c r="O57" i="6"/>
  <c r="N58" i="6"/>
  <c r="N65" i="2"/>
  <c r="O64" i="2"/>
  <c r="R44" i="9"/>
  <c r="O45" i="9"/>
  <c r="U9" i="8"/>
  <c r="R10" i="8"/>
  <c r="R72" i="12"/>
  <c r="O73" i="12"/>
  <c r="O16" i="8"/>
  <c r="N17" i="8"/>
  <c r="R9" i="12"/>
  <c r="O10" i="12"/>
  <c r="S37" i="1"/>
  <c r="R38" i="1"/>
  <c r="O16" i="9"/>
  <c r="N17" i="9"/>
  <c r="T24" i="11"/>
  <c r="R16" i="5"/>
  <c r="Q17" i="5"/>
  <c r="O16" i="3"/>
  <c r="N17" i="3"/>
  <c r="Q9" i="7"/>
  <c r="N10" i="7"/>
  <c r="T9" i="4"/>
  <c r="S10" i="4"/>
  <c r="P16" i="6"/>
  <c r="O17" i="6"/>
  <c r="T16" i="4"/>
  <c r="S17" i="4"/>
  <c r="S9" i="5"/>
  <c r="R10" i="5"/>
  <c r="O9" i="3"/>
  <c r="N10" i="3"/>
  <c r="R9" i="9"/>
  <c r="O10" i="9"/>
  <c r="N24" i="6"/>
  <c r="S65" i="5"/>
  <c r="W64" i="5"/>
  <c r="Q72" i="5"/>
  <c r="R71" i="5"/>
  <c r="O72" i="2"/>
  <c r="P71" i="2"/>
  <c r="N51" i="3"/>
  <c r="O50" i="3"/>
  <c r="O58" i="3"/>
  <c r="P57" i="3"/>
  <c r="N31" i="8"/>
  <c r="O30" i="8"/>
  <c r="Q58" i="5"/>
  <c r="R57" i="5"/>
  <c r="M45" i="7"/>
  <c r="N44" i="7"/>
  <c r="L45" i="10"/>
  <c r="M44" i="10"/>
  <c r="Q45" i="8"/>
  <c r="R44" i="8"/>
  <c r="L59" i="10"/>
  <c r="M58" i="10"/>
  <c r="S51" i="6"/>
  <c r="T50" i="6"/>
  <c r="N58" i="8"/>
  <c r="O57" i="8"/>
  <c r="L66" i="10"/>
  <c r="M65" i="10"/>
  <c r="L73" i="10"/>
  <c r="M72" i="10"/>
  <c r="AD9" i="11"/>
  <c r="AC10" i="11"/>
  <c r="O51" i="11"/>
  <c r="P50" i="11"/>
  <c r="M31" i="7"/>
  <c r="N30" i="7"/>
  <c r="N24" i="9"/>
  <c r="R24" i="5"/>
  <c r="N38" i="3"/>
  <c r="O37" i="3"/>
  <c r="R9" i="1"/>
  <c r="Q10" i="1"/>
  <c r="N31" i="6"/>
  <c r="O30" i="6"/>
  <c r="Q51" i="5"/>
  <c r="R50" i="5"/>
  <c r="N38" i="6"/>
  <c r="O37" i="6"/>
  <c r="P24" i="3"/>
  <c r="N31" i="2"/>
  <c r="O30" i="2"/>
  <c r="P31" i="1"/>
  <c r="Q30" i="1"/>
  <c r="N45" i="4"/>
  <c r="Q44" i="4"/>
  <c r="N72" i="4"/>
  <c r="Q71" i="4"/>
  <c r="R31" i="5"/>
  <c r="S30" i="5"/>
  <c r="N72" i="7"/>
  <c r="Q71" i="7"/>
  <c r="M65" i="7"/>
  <c r="N64" i="7"/>
  <c r="N45" i="6"/>
  <c r="O44" i="6"/>
  <c r="N51" i="4"/>
  <c r="Q50" i="4"/>
  <c r="Q58" i="4"/>
  <c r="R57" i="4"/>
  <c r="N72" i="3"/>
  <c r="O71" i="3"/>
  <c r="O50" i="9"/>
  <c r="N51" i="9"/>
  <c r="O59" i="9"/>
  <c r="R58" i="9"/>
  <c r="Q9" i="2"/>
  <c r="P10" i="2"/>
  <c r="O24" i="8"/>
  <c r="N31" i="3"/>
  <c r="O30" i="3"/>
  <c r="N65" i="4"/>
  <c r="Q64" i="4"/>
  <c r="O38" i="8"/>
  <c r="Q37" i="8"/>
  <c r="Q16" i="1"/>
  <c r="P17" i="1"/>
  <c r="M58" i="1"/>
  <c r="P57" i="1"/>
  <c r="N51" i="2"/>
  <c r="O50" i="2"/>
  <c r="P30" i="11"/>
  <c r="O31" i="11"/>
  <c r="N66" i="12"/>
  <c r="O65" i="12"/>
  <c r="O51" i="12"/>
  <c r="R50" i="12"/>
  <c r="O24" i="12"/>
  <c r="N58" i="2"/>
  <c r="O57" i="2"/>
  <c r="Q31" i="4"/>
  <c r="R30" i="4"/>
  <c r="M51" i="7"/>
  <c r="N50" i="7"/>
  <c r="N24" i="4"/>
  <c r="P65" i="1"/>
  <c r="Q64" i="1"/>
  <c r="R72" i="9"/>
  <c r="O73" i="9"/>
  <c r="M72" i="1"/>
  <c r="P71" i="1"/>
  <c r="N38" i="12"/>
  <c r="O37" i="12"/>
  <c r="N38" i="4"/>
  <c r="Q37" i="4"/>
  <c r="R44" i="5"/>
  <c r="Q45" i="5"/>
  <c r="S37" i="9"/>
  <c r="R38" i="9"/>
  <c r="O24" i="2"/>
  <c r="N66" i="9"/>
  <c r="O65" i="9"/>
  <c r="N58" i="7"/>
  <c r="Q57" i="7"/>
  <c r="P37" i="11"/>
  <c r="O38" i="11"/>
  <c r="L31" i="10"/>
  <c r="M30" i="10"/>
  <c r="O31" i="9"/>
  <c r="R30" i="9"/>
  <c r="N24" i="7"/>
  <c r="L51" i="10"/>
  <c r="M50" i="10"/>
  <c r="N45" i="11"/>
  <c r="O44" i="11"/>
  <c r="L24" i="10"/>
  <c r="O65" i="8"/>
  <c r="Q64" i="8"/>
  <c r="O66" i="11"/>
  <c r="P65" i="11"/>
  <c r="N38" i="7"/>
  <c r="Q37" i="7"/>
  <c r="O73" i="11"/>
  <c r="P72" i="11"/>
  <c r="O44" i="3"/>
  <c r="N45" i="3"/>
  <c r="N72" i="8"/>
  <c r="O71" i="8"/>
  <c r="O59" i="11"/>
  <c r="P58" i="11"/>
  <c r="L38" i="10"/>
  <c r="M37" i="10"/>
  <c r="P71" i="6" l="1"/>
  <c r="O72" i="6"/>
  <c r="O45" i="2"/>
  <c r="P44" i="2"/>
  <c r="R9" i="10"/>
  <c r="Q10" i="10"/>
  <c r="V16" i="11"/>
  <c r="U17" i="11"/>
  <c r="P65" i="3"/>
  <c r="Q64" i="3"/>
  <c r="P9" i="3"/>
  <c r="O10" i="3"/>
  <c r="U16" i="4"/>
  <c r="T17" i="4"/>
  <c r="U9" i="4"/>
  <c r="T10" i="4"/>
  <c r="P16" i="3"/>
  <c r="O17" i="3"/>
  <c r="U24" i="11"/>
  <c r="S9" i="12"/>
  <c r="R10" i="12"/>
  <c r="S72" i="12"/>
  <c r="R73" i="12"/>
  <c r="R45" i="9"/>
  <c r="S44" i="9"/>
  <c r="O58" i="6"/>
  <c r="P57" i="6"/>
  <c r="T64" i="6"/>
  <c r="S65" i="6"/>
  <c r="S9" i="6"/>
  <c r="P10" i="6"/>
  <c r="R58" i="12"/>
  <c r="O59" i="12"/>
  <c r="Q50" i="1"/>
  <c r="P51" i="1"/>
  <c r="O65" i="2"/>
  <c r="P64" i="2"/>
  <c r="O38" i="2"/>
  <c r="P37" i="2"/>
  <c r="S9" i="9"/>
  <c r="R10" i="9"/>
  <c r="W9" i="5"/>
  <c r="S10" i="5"/>
  <c r="S16" i="6"/>
  <c r="P17" i="6"/>
  <c r="R9" i="7"/>
  <c r="Q10" i="7"/>
  <c r="S16" i="5"/>
  <c r="R17" i="5"/>
  <c r="R16" i="9"/>
  <c r="O17" i="9"/>
  <c r="T37" i="1"/>
  <c r="S38" i="1"/>
  <c r="Q16" i="8"/>
  <c r="O17" i="8"/>
  <c r="V9" i="8"/>
  <c r="U10" i="8"/>
  <c r="Q16" i="7"/>
  <c r="N17" i="7"/>
  <c r="R44" i="1"/>
  <c r="Q45" i="1"/>
  <c r="P16" i="2"/>
  <c r="O17" i="2"/>
  <c r="U16" i="12"/>
  <c r="T17" i="12"/>
  <c r="W38" i="5"/>
  <c r="X37" i="5"/>
  <c r="Q24" i="7"/>
  <c r="P30" i="10"/>
  <c r="M31" i="10"/>
  <c r="Q58" i="7"/>
  <c r="R57" i="7"/>
  <c r="P24" i="2"/>
  <c r="O38" i="12"/>
  <c r="R37" i="12"/>
  <c r="Q24" i="4"/>
  <c r="R31" i="4"/>
  <c r="S30" i="4"/>
  <c r="R24" i="12"/>
  <c r="O66" i="12"/>
  <c r="R65" i="12"/>
  <c r="P58" i="1"/>
  <c r="Q57" i="1"/>
  <c r="Q38" i="8"/>
  <c r="R37" i="8"/>
  <c r="R58" i="4"/>
  <c r="S57" i="4"/>
  <c r="O45" i="6"/>
  <c r="P44" i="6"/>
  <c r="Q72" i="7"/>
  <c r="R71" i="7"/>
  <c r="W30" i="5"/>
  <c r="S31" i="5"/>
  <c r="Q45" i="4"/>
  <c r="R44" i="4"/>
  <c r="O31" i="2"/>
  <c r="P30" i="2"/>
  <c r="O38" i="6"/>
  <c r="P37" i="6"/>
  <c r="R51" i="5"/>
  <c r="S50" i="5"/>
  <c r="S24" i="5"/>
  <c r="Q50" i="11"/>
  <c r="P51" i="11"/>
  <c r="P65" i="10"/>
  <c r="M66" i="10"/>
  <c r="U50" i="6"/>
  <c r="T51" i="6"/>
  <c r="U44" i="8"/>
  <c r="R45" i="8"/>
  <c r="R58" i="5"/>
  <c r="S57" i="5"/>
  <c r="P58" i="3"/>
  <c r="Q57" i="3"/>
  <c r="P72" i="2"/>
  <c r="Q71" i="2"/>
  <c r="W65" i="5"/>
  <c r="X64" i="5"/>
  <c r="P44" i="3"/>
  <c r="O45" i="3"/>
  <c r="R45" i="5"/>
  <c r="S44" i="5"/>
  <c r="R73" i="9"/>
  <c r="S72" i="9"/>
  <c r="Q24" i="8"/>
  <c r="O51" i="9"/>
  <c r="R50" i="9"/>
  <c r="S9" i="1"/>
  <c r="R10" i="1"/>
  <c r="Q58" i="11"/>
  <c r="P59" i="11"/>
  <c r="R37" i="7"/>
  <c r="Q38" i="7"/>
  <c r="R64" i="8"/>
  <c r="Q65" i="8"/>
  <c r="P44" i="11"/>
  <c r="O45" i="11"/>
  <c r="P37" i="10"/>
  <c r="M38" i="10"/>
  <c r="Q71" i="8"/>
  <c r="O72" i="8"/>
  <c r="Q72" i="11"/>
  <c r="P73" i="11"/>
  <c r="Q65" i="11"/>
  <c r="P66" i="11"/>
  <c r="M24" i="10"/>
  <c r="P50" i="10"/>
  <c r="M51" i="10"/>
  <c r="S30" i="9"/>
  <c r="R31" i="9"/>
  <c r="O66" i="9"/>
  <c r="R65" i="9"/>
  <c r="Q38" i="4"/>
  <c r="R37" i="4"/>
  <c r="P72" i="1"/>
  <c r="Q71" i="1"/>
  <c r="Q65" i="1"/>
  <c r="R64" i="1"/>
  <c r="N51" i="7"/>
  <c r="Q50" i="7"/>
  <c r="O58" i="2"/>
  <c r="P57" i="2"/>
  <c r="R51" i="12"/>
  <c r="S50" i="12"/>
  <c r="O51" i="2"/>
  <c r="P50" i="2"/>
  <c r="Q65" i="4"/>
  <c r="R64" i="4"/>
  <c r="O31" i="3"/>
  <c r="P30" i="3"/>
  <c r="R59" i="9"/>
  <c r="S58" i="9"/>
  <c r="O72" i="3"/>
  <c r="P71" i="3"/>
  <c r="Q51" i="4"/>
  <c r="R50" i="4"/>
  <c r="N65" i="7"/>
  <c r="Q64" i="7"/>
  <c r="Q72" i="4"/>
  <c r="R71" i="4"/>
  <c r="Q31" i="1"/>
  <c r="R30" i="1"/>
  <c r="Q24" i="3"/>
  <c r="O31" i="6"/>
  <c r="P30" i="6"/>
  <c r="P37" i="3"/>
  <c r="O38" i="3"/>
  <c r="O24" i="9"/>
  <c r="Q30" i="7"/>
  <c r="N31" i="7"/>
  <c r="P72" i="10"/>
  <c r="M73" i="10"/>
  <c r="Q57" i="8"/>
  <c r="O58" i="8"/>
  <c r="P58" i="10"/>
  <c r="M59" i="10"/>
  <c r="P44" i="10"/>
  <c r="M45" i="10"/>
  <c r="Q44" i="7"/>
  <c r="N45" i="7"/>
  <c r="O31" i="8"/>
  <c r="Q30" i="8"/>
  <c r="O51" i="3"/>
  <c r="P50" i="3"/>
  <c r="R72" i="5"/>
  <c r="S71" i="5"/>
  <c r="O24" i="6"/>
  <c r="P38" i="11"/>
  <c r="Q37" i="11"/>
  <c r="S38" i="9"/>
  <c r="T37" i="9"/>
  <c r="P31" i="11"/>
  <c r="Q30" i="11"/>
  <c r="Q17" i="1"/>
  <c r="R16" i="1"/>
  <c r="T9" i="2"/>
  <c r="Q10" i="2"/>
  <c r="AE9" i="11"/>
  <c r="AE10" i="11" s="1"/>
  <c r="AD10" i="11"/>
  <c r="S71" i="6" l="1"/>
  <c r="P72" i="6"/>
  <c r="P45" i="2"/>
  <c r="Q44" i="2"/>
  <c r="W16" i="11"/>
  <c r="V17" i="11"/>
  <c r="S9" i="10"/>
  <c r="R10" i="10"/>
  <c r="Y37" i="5"/>
  <c r="X38" i="5"/>
  <c r="Q37" i="2"/>
  <c r="P38" i="2"/>
  <c r="S57" i="6"/>
  <c r="P58" i="6"/>
  <c r="Q16" i="2"/>
  <c r="P17" i="2"/>
  <c r="R16" i="7"/>
  <c r="Q17" i="7"/>
  <c r="R16" i="8"/>
  <c r="Q17" i="8"/>
  <c r="S16" i="9"/>
  <c r="R17" i="9"/>
  <c r="S9" i="7"/>
  <c r="R10" i="7"/>
  <c r="X9" i="5"/>
  <c r="W10" i="5"/>
  <c r="R50" i="1"/>
  <c r="Q51" i="1"/>
  <c r="T9" i="6"/>
  <c r="S10" i="6"/>
  <c r="T72" i="12"/>
  <c r="S73" i="12"/>
  <c r="Q16" i="3"/>
  <c r="P17" i="3"/>
  <c r="X16" i="4"/>
  <c r="U17" i="4"/>
  <c r="P65" i="2"/>
  <c r="Q64" i="2"/>
  <c r="T44" i="9"/>
  <c r="S45" i="9"/>
  <c r="Q65" i="3"/>
  <c r="T64" i="3"/>
  <c r="V16" i="12"/>
  <c r="U17" i="12"/>
  <c r="S44" i="1"/>
  <c r="R45" i="1"/>
  <c r="W9" i="8"/>
  <c r="V10" i="8"/>
  <c r="W37" i="1"/>
  <c r="T38" i="1"/>
  <c r="W16" i="5"/>
  <c r="S17" i="5"/>
  <c r="T16" i="6"/>
  <c r="S17" i="6"/>
  <c r="T9" i="9"/>
  <c r="S10" i="9"/>
  <c r="S58" i="12"/>
  <c r="R59" i="12"/>
  <c r="U64" i="6"/>
  <c r="T65" i="6"/>
  <c r="T9" i="12"/>
  <c r="S10" i="12"/>
  <c r="V24" i="11"/>
  <c r="X9" i="4"/>
  <c r="U10" i="4"/>
  <c r="Q9" i="3"/>
  <c r="P10" i="3"/>
  <c r="S72" i="5"/>
  <c r="W71" i="5"/>
  <c r="R65" i="4"/>
  <c r="S64" i="4"/>
  <c r="Q72" i="1"/>
  <c r="R71" i="1"/>
  <c r="W44" i="5"/>
  <c r="S45" i="5"/>
  <c r="S51" i="5"/>
  <c r="W50" i="5"/>
  <c r="Q58" i="1"/>
  <c r="R57" i="1"/>
  <c r="R24" i="4"/>
  <c r="Q24" i="2"/>
  <c r="Q31" i="7"/>
  <c r="R30" i="7"/>
  <c r="P51" i="10"/>
  <c r="Q50" i="10"/>
  <c r="Q66" i="11"/>
  <c r="T65" i="11"/>
  <c r="Q72" i="8"/>
  <c r="R71" i="8"/>
  <c r="P45" i="11"/>
  <c r="Q44" i="11"/>
  <c r="R38" i="7"/>
  <c r="S37" i="7"/>
  <c r="Q44" i="3"/>
  <c r="P45" i="3"/>
  <c r="U51" i="6"/>
  <c r="V50" i="6"/>
  <c r="Q51" i="11"/>
  <c r="T50" i="11"/>
  <c r="W31" i="5"/>
  <c r="X30" i="5"/>
  <c r="P31" i="10"/>
  <c r="Q30" i="10"/>
  <c r="T37" i="11"/>
  <c r="Q38" i="11"/>
  <c r="T58" i="9"/>
  <c r="S59" i="9"/>
  <c r="Q51" i="7"/>
  <c r="R50" i="7"/>
  <c r="Q72" i="2"/>
  <c r="T71" i="2"/>
  <c r="P31" i="2"/>
  <c r="Q30" i="2"/>
  <c r="S44" i="6"/>
  <c r="P45" i="6"/>
  <c r="S24" i="12"/>
  <c r="U9" i="2"/>
  <c r="T10" i="2"/>
  <c r="P45" i="10"/>
  <c r="Q44" i="10"/>
  <c r="Q58" i="8"/>
  <c r="R57" i="8"/>
  <c r="P38" i="3"/>
  <c r="Q37" i="3"/>
  <c r="R17" i="1"/>
  <c r="S16" i="1"/>
  <c r="U37" i="9"/>
  <c r="T38" i="9"/>
  <c r="P51" i="3"/>
  <c r="Q50" i="3"/>
  <c r="S30" i="6"/>
  <c r="P31" i="6"/>
  <c r="T24" i="3"/>
  <c r="R72" i="4"/>
  <c r="S71" i="4"/>
  <c r="R64" i="7"/>
  <c r="Q65" i="7"/>
  <c r="P72" i="3"/>
  <c r="Q71" i="3"/>
  <c r="P31" i="3"/>
  <c r="Q30" i="3"/>
  <c r="P51" i="2"/>
  <c r="Q50" i="2"/>
  <c r="P58" i="2"/>
  <c r="Q57" i="2"/>
  <c r="R65" i="1"/>
  <c r="S64" i="1"/>
  <c r="R38" i="4"/>
  <c r="S37" i="4"/>
  <c r="R51" i="9"/>
  <c r="S50" i="9"/>
  <c r="R24" i="8"/>
  <c r="S73" i="9"/>
  <c r="T72" i="9"/>
  <c r="X65" i="5"/>
  <c r="Y64" i="5"/>
  <c r="Q58" i="3"/>
  <c r="T57" i="3"/>
  <c r="S37" i="6"/>
  <c r="P38" i="6"/>
  <c r="R45" i="4"/>
  <c r="S44" i="4"/>
  <c r="S71" i="7"/>
  <c r="T71" i="7" s="1"/>
  <c r="R72" i="7"/>
  <c r="S58" i="4"/>
  <c r="T57" i="4"/>
  <c r="U37" i="8"/>
  <c r="R38" i="8"/>
  <c r="R66" i="12"/>
  <c r="S65" i="12"/>
  <c r="S31" i="4"/>
  <c r="T30" i="4"/>
  <c r="R38" i="12"/>
  <c r="S37" i="12"/>
  <c r="S57" i="7"/>
  <c r="R58" i="7"/>
  <c r="T30" i="11"/>
  <c r="Q31" i="11"/>
  <c r="P24" i="6"/>
  <c r="Q31" i="8"/>
  <c r="R30" i="8"/>
  <c r="R31" i="1"/>
  <c r="S30" i="1"/>
  <c r="R51" i="4"/>
  <c r="S50" i="4"/>
  <c r="S51" i="12"/>
  <c r="T50" i="12"/>
  <c r="R66" i="9"/>
  <c r="S65" i="9"/>
  <c r="S58" i="5"/>
  <c r="W57" i="5"/>
  <c r="Q45" i="7"/>
  <c r="R44" i="7"/>
  <c r="P59" i="10"/>
  <c r="Q58" i="10"/>
  <c r="P73" i="10"/>
  <c r="Q72" i="10"/>
  <c r="R24" i="9"/>
  <c r="S31" i="9"/>
  <c r="T30" i="9"/>
  <c r="P24" i="10"/>
  <c r="Q73" i="11"/>
  <c r="T72" i="11"/>
  <c r="P38" i="10"/>
  <c r="Q37" i="10"/>
  <c r="R65" i="8"/>
  <c r="U64" i="8"/>
  <c r="Q59" i="11"/>
  <c r="T58" i="11"/>
  <c r="T9" i="1"/>
  <c r="S10" i="1"/>
  <c r="U45" i="8"/>
  <c r="V44" i="8"/>
  <c r="P66" i="10"/>
  <c r="Q65" i="10"/>
  <c r="W24" i="5"/>
  <c r="R24" i="7"/>
  <c r="S72" i="6" l="1"/>
  <c r="T71" i="6"/>
  <c r="T44" i="2"/>
  <c r="Q45" i="2"/>
  <c r="S10" i="10"/>
  <c r="T9" i="10"/>
  <c r="X16" i="11"/>
  <c r="W17" i="11"/>
  <c r="T9" i="3"/>
  <c r="Q10" i="3"/>
  <c r="W24" i="11"/>
  <c r="U65" i="6"/>
  <c r="V64" i="6"/>
  <c r="U9" i="9"/>
  <c r="T10" i="9"/>
  <c r="X16" i="5"/>
  <c r="W17" i="5"/>
  <c r="X9" i="8"/>
  <c r="W10" i="8"/>
  <c r="Y16" i="12"/>
  <c r="V17" i="12"/>
  <c r="T45" i="9"/>
  <c r="U44" i="9"/>
  <c r="T16" i="3"/>
  <c r="Q17" i="3"/>
  <c r="U72" i="12"/>
  <c r="T73" i="12"/>
  <c r="S50" i="1"/>
  <c r="R51" i="1"/>
  <c r="T9" i="7"/>
  <c r="U9" i="7" s="1"/>
  <c r="S10" i="7"/>
  <c r="U16" i="8"/>
  <c r="R17" i="8"/>
  <c r="Q17" i="2"/>
  <c r="T16" i="2"/>
  <c r="Q38" i="2"/>
  <c r="T37" i="2"/>
  <c r="T65" i="3"/>
  <c r="U64" i="3"/>
  <c r="Q65" i="2"/>
  <c r="T64" i="2"/>
  <c r="X10" i="4"/>
  <c r="Y9" i="4"/>
  <c r="U9" i="12"/>
  <c r="T10" i="12"/>
  <c r="T58" i="12"/>
  <c r="S59" i="12"/>
  <c r="U16" i="6"/>
  <c r="T17" i="6"/>
  <c r="X37" i="1"/>
  <c r="W38" i="1"/>
  <c r="T44" i="1"/>
  <c r="S45" i="1"/>
  <c r="Y16" i="4"/>
  <c r="X17" i="4"/>
  <c r="U9" i="6"/>
  <c r="T10" i="6"/>
  <c r="Y9" i="5"/>
  <c r="X10" i="5"/>
  <c r="T16" i="9"/>
  <c r="S17" i="9"/>
  <c r="S16" i="7"/>
  <c r="R17" i="7"/>
  <c r="S58" i="6"/>
  <c r="T57" i="6"/>
  <c r="Y38" i="5"/>
  <c r="Z37" i="5"/>
  <c r="R65" i="10"/>
  <c r="Q66" i="10"/>
  <c r="U58" i="11"/>
  <c r="T59" i="11"/>
  <c r="S24" i="9"/>
  <c r="T31" i="4"/>
  <c r="U30" i="4"/>
  <c r="S38" i="4"/>
  <c r="T37" i="4"/>
  <c r="Q31" i="3"/>
  <c r="T30" i="3"/>
  <c r="Q51" i="3"/>
  <c r="T50" i="3"/>
  <c r="R72" i="1"/>
  <c r="S71" i="1"/>
  <c r="S24" i="6"/>
  <c r="S58" i="7"/>
  <c r="T57" i="7"/>
  <c r="U38" i="8"/>
  <c r="V37" i="8"/>
  <c r="S72" i="7"/>
  <c r="S38" i="6"/>
  <c r="T37" i="6"/>
  <c r="R65" i="7"/>
  <c r="S64" i="7"/>
  <c r="U38" i="9"/>
  <c r="V37" i="9"/>
  <c r="U10" i="2"/>
  <c r="V9" i="2"/>
  <c r="S45" i="6"/>
  <c r="T44" i="6"/>
  <c r="T59" i="9"/>
  <c r="U58" i="9"/>
  <c r="T38" i="11"/>
  <c r="U37" i="11"/>
  <c r="W45" i="5"/>
  <c r="X44" i="5"/>
  <c r="R37" i="10"/>
  <c r="Q38" i="10"/>
  <c r="R58" i="10"/>
  <c r="Q59" i="10"/>
  <c r="T51" i="12"/>
  <c r="U50" i="12"/>
  <c r="U24" i="8"/>
  <c r="Q58" i="2"/>
  <c r="T57" i="2"/>
  <c r="U24" i="3"/>
  <c r="T72" i="2"/>
  <c r="U71" i="2"/>
  <c r="W50" i="6"/>
  <c r="V51" i="6"/>
  <c r="T44" i="11"/>
  <c r="Q45" i="11"/>
  <c r="U65" i="11"/>
  <c r="T66" i="11"/>
  <c r="S30" i="7"/>
  <c r="R31" i="7"/>
  <c r="S24" i="4"/>
  <c r="X24" i="5"/>
  <c r="W44" i="8"/>
  <c r="V45" i="8"/>
  <c r="V64" i="8"/>
  <c r="U65" i="8"/>
  <c r="U72" i="11"/>
  <c r="T73" i="11"/>
  <c r="U30" i="9"/>
  <c r="T31" i="9"/>
  <c r="R72" i="10"/>
  <c r="Q73" i="10"/>
  <c r="S44" i="7"/>
  <c r="R45" i="7"/>
  <c r="W58" i="5"/>
  <c r="X57" i="5"/>
  <c r="S66" i="9"/>
  <c r="T65" i="9"/>
  <c r="S51" i="4"/>
  <c r="T50" i="4"/>
  <c r="R31" i="8"/>
  <c r="U30" i="8"/>
  <c r="S38" i="12"/>
  <c r="T37" i="12"/>
  <c r="S66" i="12"/>
  <c r="T65" i="12"/>
  <c r="T58" i="4"/>
  <c r="U57" i="4"/>
  <c r="S45" i="4"/>
  <c r="T44" i="4"/>
  <c r="T58" i="3"/>
  <c r="U57" i="3"/>
  <c r="T73" i="9"/>
  <c r="U72" i="9"/>
  <c r="S51" i="9"/>
  <c r="T50" i="9"/>
  <c r="S65" i="1"/>
  <c r="T64" i="1"/>
  <c r="Q51" i="2"/>
  <c r="T50" i="2"/>
  <c r="Q72" i="3"/>
  <c r="T71" i="3"/>
  <c r="S72" i="4"/>
  <c r="T71" i="4"/>
  <c r="T16" i="1"/>
  <c r="S17" i="1"/>
  <c r="T37" i="3"/>
  <c r="Q38" i="3"/>
  <c r="R44" i="10"/>
  <c r="Q45" i="10"/>
  <c r="T24" i="12"/>
  <c r="Q31" i="2"/>
  <c r="T30" i="2"/>
  <c r="R51" i="7"/>
  <c r="S50" i="7"/>
  <c r="R30" i="10"/>
  <c r="Q31" i="10"/>
  <c r="U50" i="11"/>
  <c r="T51" i="11"/>
  <c r="T37" i="7"/>
  <c r="S38" i="7"/>
  <c r="U71" i="8"/>
  <c r="R72" i="8"/>
  <c r="R50" i="10"/>
  <c r="Q51" i="10"/>
  <c r="T24" i="2"/>
  <c r="R58" i="1"/>
  <c r="S57" i="1"/>
  <c r="W51" i="5"/>
  <c r="X50" i="5"/>
  <c r="S65" i="4"/>
  <c r="T64" i="4"/>
  <c r="W72" i="5"/>
  <c r="X71" i="5"/>
  <c r="S24" i="7"/>
  <c r="Q24" i="10"/>
  <c r="S31" i="1"/>
  <c r="T30" i="1"/>
  <c r="Y65" i="5"/>
  <c r="Z64" i="5"/>
  <c r="U57" i="8"/>
  <c r="R58" i="8"/>
  <c r="Y30" i="5"/>
  <c r="X31" i="5"/>
  <c r="W9" i="1"/>
  <c r="T10" i="1"/>
  <c r="T31" i="11"/>
  <c r="U30" i="11"/>
  <c r="S31" i="6"/>
  <c r="T30" i="6"/>
  <c r="T44" i="3"/>
  <c r="Q45" i="3"/>
  <c r="U71" i="6" l="1"/>
  <c r="T72" i="6"/>
  <c r="U44" i="2"/>
  <c r="T45" i="2"/>
  <c r="AA16" i="11"/>
  <c r="X17" i="11"/>
  <c r="W9" i="10"/>
  <c r="T10" i="10"/>
  <c r="AC37" i="5"/>
  <c r="Z38" i="5"/>
  <c r="T65" i="2"/>
  <c r="U64" i="2"/>
  <c r="T38" i="2"/>
  <c r="U37" i="2"/>
  <c r="V44" i="9"/>
  <c r="U45" i="9"/>
  <c r="T16" i="7"/>
  <c r="S17" i="7"/>
  <c r="Y10" i="5"/>
  <c r="Z9" i="5"/>
  <c r="W44" i="1"/>
  <c r="T45" i="1"/>
  <c r="V16" i="6"/>
  <c r="U17" i="6"/>
  <c r="V9" i="12"/>
  <c r="U10" i="12"/>
  <c r="V16" i="8"/>
  <c r="U17" i="8"/>
  <c r="T50" i="1"/>
  <c r="S51" i="1"/>
  <c r="U16" i="3"/>
  <c r="T17" i="3"/>
  <c r="Y9" i="8"/>
  <c r="X10" i="8"/>
  <c r="V9" i="9"/>
  <c r="U10" i="9"/>
  <c r="X24" i="11"/>
  <c r="U57" i="6"/>
  <c r="T58" i="6"/>
  <c r="Z9" i="4"/>
  <c r="Y10" i="4"/>
  <c r="U65" i="3"/>
  <c r="V64" i="3"/>
  <c r="U16" i="2"/>
  <c r="T17" i="2"/>
  <c r="W64" i="6"/>
  <c r="V65" i="6"/>
  <c r="U16" i="9"/>
  <c r="T17" i="9"/>
  <c r="V9" i="6"/>
  <c r="U10" i="6"/>
  <c r="Z16" i="4"/>
  <c r="Y17" i="4"/>
  <c r="Y37" i="1"/>
  <c r="X38" i="1"/>
  <c r="U58" i="12"/>
  <c r="T59" i="12"/>
  <c r="T10" i="7"/>
  <c r="V72" i="12"/>
  <c r="U73" i="12"/>
  <c r="AA16" i="12"/>
  <c r="Y17" i="12"/>
  <c r="X17" i="5"/>
  <c r="Y16" i="5"/>
  <c r="U9" i="3"/>
  <c r="T10" i="3"/>
  <c r="S51" i="7"/>
  <c r="T50" i="7"/>
  <c r="U24" i="12"/>
  <c r="T72" i="3"/>
  <c r="U71" i="3"/>
  <c r="V72" i="9"/>
  <c r="U73" i="9"/>
  <c r="T66" i="12"/>
  <c r="U65" i="12"/>
  <c r="U72" i="2"/>
  <c r="V71" i="2"/>
  <c r="X9" i="1"/>
  <c r="W10" i="1"/>
  <c r="U58" i="8"/>
  <c r="V57" i="8"/>
  <c r="T24" i="7"/>
  <c r="R51" i="10"/>
  <c r="S50" i="10"/>
  <c r="T38" i="7"/>
  <c r="U37" i="7"/>
  <c r="R31" i="10"/>
  <c r="S30" i="10"/>
  <c r="T38" i="3"/>
  <c r="U37" i="3"/>
  <c r="S45" i="7"/>
  <c r="T44" i="7"/>
  <c r="U31" i="9"/>
  <c r="V30" i="9"/>
  <c r="V65" i="8"/>
  <c r="W64" i="8"/>
  <c r="Y24" i="5"/>
  <c r="S31" i="7"/>
  <c r="T30" i="7"/>
  <c r="T45" i="11"/>
  <c r="U44" i="11"/>
  <c r="R38" i="10"/>
  <c r="S37" i="10"/>
  <c r="U59" i="11"/>
  <c r="V58" i="11"/>
  <c r="V30" i="11"/>
  <c r="U31" i="11"/>
  <c r="T31" i="1"/>
  <c r="W30" i="1"/>
  <c r="S58" i="1"/>
  <c r="T57" i="1"/>
  <c r="T65" i="1"/>
  <c r="W64" i="1"/>
  <c r="T45" i="4"/>
  <c r="U44" i="4"/>
  <c r="T66" i="9"/>
  <c r="U65" i="9"/>
  <c r="T58" i="2"/>
  <c r="U57" i="2"/>
  <c r="V37" i="11"/>
  <c r="U38" i="11"/>
  <c r="W9" i="2"/>
  <c r="V10" i="2"/>
  <c r="Y37" i="9"/>
  <c r="V38" i="9"/>
  <c r="T38" i="6"/>
  <c r="U37" i="6"/>
  <c r="V38" i="8"/>
  <c r="W37" i="8"/>
  <c r="T24" i="6"/>
  <c r="S72" i="1"/>
  <c r="T71" i="1"/>
  <c r="U31" i="4"/>
  <c r="X30" i="4"/>
  <c r="T31" i="6"/>
  <c r="U30" i="6"/>
  <c r="Z65" i="5"/>
  <c r="AC64" i="5"/>
  <c r="X72" i="5"/>
  <c r="Y71" i="5"/>
  <c r="X51" i="5"/>
  <c r="Y50" i="5"/>
  <c r="U24" i="2"/>
  <c r="T31" i="2"/>
  <c r="U30" i="2"/>
  <c r="T72" i="4"/>
  <c r="U71" i="4"/>
  <c r="T51" i="2"/>
  <c r="U50" i="2"/>
  <c r="U50" i="9"/>
  <c r="T51" i="9"/>
  <c r="U58" i="3"/>
  <c r="V57" i="3"/>
  <c r="U58" i="4"/>
  <c r="X57" i="4"/>
  <c r="T38" i="12"/>
  <c r="U37" i="12"/>
  <c r="T51" i="4"/>
  <c r="U50" i="4"/>
  <c r="Y57" i="5"/>
  <c r="X58" i="5"/>
  <c r="T24" i="4"/>
  <c r="V24" i="3"/>
  <c r="V24" i="8"/>
  <c r="Y44" i="5"/>
  <c r="X45" i="5"/>
  <c r="U59" i="9"/>
  <c r="V58" i="9"/>
  <c r="T45" i="6"/>
  <c r="U44" i="6"/>
  <c r="S65" i="7"/>
  <c r="T64" i="7"/>
  <c r="T72" i="7"/>
  <c r="U71" i="7"/>
  <c r="T58" i="7"/>
  <c r="U57" i="7"/>
  <c r="T51" i="3"/>
  <c r="U50" i="3"/>
  <c r="T38" i="4"/>
  <c r="U37" i="4"/>
  <c r="T65" i="4"/>
  <c r="U64" i="4"/>
  <c r="U31" i="8"/>
  <c r="V30" i="8"/>
  <c r="U51" i="12"/>
  <c r="V50" i="12"/>
  <c r="T31" i="3"/>
  <c r="U30" i="3"/>
  <c r="U44" i="3"/>
  <c r="T45" i="3"/>
  <c r="Y31" i="5"/>
  <c r="Z30" i="5"/>
  <c r="R24" i="10"/>
  <c r="U72" i="8"/>
  <c r="V71" i="8"/>
  <c r="U51" i="11"/>
  <c r="V50" i="11"/>
  <c r="R45" i="10"/>
  <c r="S44" i="10"/>
  <c r="W16" i="1"/>
  <c r="T17" i="1"/>
  <c r="R73" i="10"/>
  <c r="S72" i="10"/>
  <c r="U73" i="11"/>
  <c r="V72" i="11"/>
  <c r="W45" i="8"/>
  <c r="X44" i="8"/>
  <c r="U66" i="11"/>
  <c r="V65" i="11"/>
  <c r="W51" i="6"/>
  <c r="Z50" i="6"/>
  <c r="R59" i="10"/>
  <c r="S58" i="10"/>
  <c r="T24" i="9"/>
  <c r="R66" i="10"/>
  <c r="S65" i="10"/>
  <c r="V71" i="6" l="1"/>
  <c r="U72" i="6"/>
  <c r="U45" i="2"/>
  <c r="V44" i="2"/>
  <c r="X9" i="10"/>
  <c r="W10" i="10"/>
  <c r="AA17" i="11"/>
  <c r="AB16" i="11"/>
  <c r="AC9" i="5"/>
  <c r="Z10" i="5"/>
  <c r="AB16" i="12"/>
  <c r="AA17" i="12"/>
  <c r="V58" i="12"/>
  <c r="U59" i="12"/>
  <c r="V16" i="9"/>
  <c r="U17" i="9"/>
  <c r="V16" i="2"/>
  <c r="U17" i="2"/>
  <c r="AA24" i="11"/>
  <c r="W50" i="1"/>
  <c r="T51" i="1"/>
  <c r="X44" i="1"/>
  <c r="W45" i="1"/>
  <c r="Z16" i="5"/>
  <c r="Y17" i="5"/>
  <c r="V65" i="3"/>
  <c r="W64" i="3"/>
  <c r="U38" i="2"/>
  <c r="V37" i="2"/>
  <c r="U65" i="2"/>
  <c r="V64" i="2"/>
  <c r="V9" i="3"/>
  <c r="U10" i="3"/>
  <c r="Y72" i="12"/>
  <c r="V73" i="12"/>
  <c r="AA16" i="4"/>
  <c r="Z17" i="4"/>
  <c r="AA9" i="4"/>
  <c r="Z10" i="4"/>
  <c r="AB9" i="8"/>
  <c r="Y10" i="8"/>
  <c r="Y9" i="12"/>
  <c r="V10" i="12"/>
  <c r="V45" i="9"/>
  <c r="Y44" i="9"/>
  <c r="X9" i="7"/>
  <c r="U10" i="7"/>
  <c r="Z37" i="1"/>
  <c r="Y38" i="1"/>
  <c r="W9" i="6"/>
  <c r="V10" i="6"/>
  <c r="W65" i="6"/>
  <c r="Z64" i="6"/>
  <c r="U58" i="6"/>
  <c r="V57" i="6"/>
  <c r="Y9" i="9"/>
  <c r="V10" i="9"/>
  <c r="V16" i="3"/>
  <c r="U17" i="3"/>
  <c r="W16" i="8"/>
  <c r="V17" i="8"/>
  <c r="W16" i="6"/>
  <c r="V17" i="6"/>
  <c r="U16" i="7"/>
  <c r="T17" i="7"/>
  <c r="AC38" i="5"/>
  <c r="AD37" i="5"/>
  <c r="U24" i="9"/>
  <c r="AC30" i="5"/>
  <c r="Z31" i="5"/>
  <c r="U51" i="3"/>
  <c r="V50" i="3"/>
  <c r="T65" i="7"/>
  <c r="U64" i="7"/>
  <c r="W24" i="3"/>
  <c r="X58" i="4"/>
  <c r="Y57" i="4"/>
  <c r="AC65" i="5"/>
  <c r="AD64" i="5"/>
  <c r="U38" i="6"/>
  <c r="V37" i="6"/>
  <c r="T58" i="1"/>
  <c r="W57" i="1"/>
  <c r="Y30" i="9"/>
  <c r="V31" i="9"/>
  <c r="U24" i="7"/>
  <c r="U72" i="3"/>
  <c r="V71" i="3"/>
  <c r="U45" i="3"/>
  <c r="V44" i="3"/>
  <c r="Y45" i="5"/>
  <c r="Z44" i="5"/>
  <c r="U51" i="9"/>
  <c r="V50" i="9"/>
  <c r="X9" i="2"/>
  <c r="W10" i="2"/>
  <c r="V38" i="11"/>
  <c r="W37" i="11"/>
  <c r="V31" i="11"/>
  <c r="W30" i="11"/>
  <c r="Y9" i="1"/>
  <c r="X10" i="1"/>
  <c r="Y44" i="8"/>
  <c r="X45" i="8"/>
  <c r="T44" i="10"/>
  <c r="S45" i="10"/>
  <c r="W71" i="8"/>
  <c r="V72" i="8"/>
  <c r="V51" i="12"/>
  <c r="AF50" i="12"/>
  <c r="AF51" i="12" s="1"/>
  <c r="U58" i="7"/>
  <c r="X57" i="7"/>
  <c r="U51" i="4"/>
  <c r="X50" i="4"/>
  <c r="U72" i="4"/>
  <c r="X71" i="4"/>
  <c r="X31" i="4"/>
  <c r="Y30" i="4"/>
  <c r="Z24" i="5"/>
  <c r="V37" i="3"/>
  <c r="U38" i="3"/>
  <c r="T51" i="7"/>
  <c r="U50" i="7"/>
  <c r="T65" i="10"/>
  <c r="S66" i="10"/>
  <c r="T58" i="10"/>
  <c r="S59" i="10"/>
  <c r="W65" i="11"/>
  <c r="V66" i="11"/>
  <c r="W72" i="11"/>
  <c r="V73" i="11"/>
  <c r="W50" i="11"/>
  <c r="V51" i="11"/>
  <c r="S24" i="10"/>
  <c r="U31" i="3"/>
  <c r="V30" i="3"/>
  <c r="V31" i="8"/>
  <c r="W30" i="8"/>
  <c r="U65" i="4"/>
  <c r="X64" i="4"/>
  <c r="U38" i="4"/>
  <c r="X37" i="4"/>
  <c r="U72" i="7"/>
  <c r="X71" i="7"/>
  <c r="V59" i="9"/>
  <c r="Y58" i="9"/>
  <c r="U24" i="4"/>
  <c r="U38" i="12"/>
  <c r="V37" i="12"/>
  <c r="V58" i="3"/>
  <c r="W57" i="3"/>
  <c r="U51" i="2"/>
  <c r="V50" i="2"/>
  <c r="U31" i="2"/>
  <c r="V30" i="2"/>
  <c r="V24" i="2"/>
  <c r="Y72" i="5"/>
  <c r="Z71" i="5"/>
  <c r="U31" i="6"/>
  <c r="V30" i="6"/>
  <c r="T72" i="1"/>
  <c r="W71" i="1"/>
  <c r="W38" i="8"/>
  <c r="X37" i="8"/>
  <c r="U58" i="2"/>
  <c r="V57" i="2"/>
  <c r="U66" i="9"/>
  <c r="V65" i="9"/>
  <c r="W65" i="1"/>
  <c r="X64" i="1"/>
  <c r="W31" i="1"/>
  <c r="X30" i="1"/>
  <c r="W58" i="11"/>
  <c r="V59" i="11"/>
  <c r="T37" i="10"/>
  <c r="S38" i="10"/>
  <c r="U30" i="7"/>
  <c r="T31" i="7"/>
  <c r="X64" i="8"/>
  <c r="W65" i="8"/>
  <c r="U44" i="7"/>
  <c r="T45" i="7"/>
  <c r="T30" i="10"/>
  <c r="S31" i="10"/>
  <c r="T50" i="10"/>
  <c r="S51" i="10"/>
  <c r="W57" i="8"/>
  <c r="V58" i="8"/>
  <c r="V72" i="2"/>
  <c r="W71" i="2"/>
  <c r="V24" i="12"/>
  <c r="AA50" i="6"/>
  <c r="Z51" i="6"/>
  <c r="T72" i="10"/>
  <c r="S73" i="10"/>
  <c r="U45" i="6"/>
  <c r="V44" i="6"/>
  <c r="Y51" i="5"/>
  <c r="Z50" i="5"/>
  <c r="U24" i="6"/>
  <c r="U45" i="4"/>
  <c r="X44" i="4"/>
  <c r="V44" i="11"/>
  <c r="U45" i="11"/>
  <c r="X37" i="7"/>
  <c r="U38" i="7"/>
  <c r="U66" i="12"/>
  <c r="V65" i="12"/>
  <c r="W17" i="1"/>
  <c r="X16" i="1"/>
  <c r="W24" i="8"/>
  <c r="Y58" i="5"/>
  <c r="Z57" i="5"/>
  <c r="Y38" i="9"/>
  <c r="Z37" i="9"/>
  <c r="V73" i="9"/>
  <c r="Y72" i="9"/>
  <c r="W71" i="6" l="1"/>
  <c r="V72" i="6"/>
  <c r="V45" i="2"/>
  <c r="W44" i="2"/>
  <c r="AB17" i="11"/>
  <c r="AC16" i="11"/>
  <c r="X10" i="10"/>
  <c r="Y9" i="10"/>
  <c r="AA64" i="6"/>
  <c r="Z65" i="6"/>
  <c r="W64" i="2"/>
  <c r="V65" i="2"/>
  <c r="W65" i="3"/>
  <c r="X64" i="3"/>
  <c r="X16" i="7"/>
  <c r="U17" i="7"/>
  <c r="X16" i="8"/>
  <c r="W17" i="8"/>
  <c r="Z9" i="9"/>
  <c r="Y10" i="9"/>
  <c r="AA37" i="1"/>
  <c r="Z38" i="1"/>
  <c r="AA9" i="12"/>
  <c r="Y10" i="12"/>
  <c r="AB9" i="4"/>
  <c r="AA10" i="4"/>
  <c r="AA72" i="12"/>
  <c r="Y73" i="12"/>
  <c r="Y44" i="1"/>
  <c r="X45" i="1"/>
  <c r="AB24" i="11"/>
  <c r="Y16" i="9"/>
  <c r="V17" i="9"/>
  <c r="AC16" i="12"/>
  <c r="AB17" i="12"/>
  <c r="AE37" i="5"/>
  <c r="AD38" i="5"/>
  <c r="W57" i="6"/>
  <c r="V58" i="6"/>
  <c r="Z44" i="9"/>
  <c r="Y45" i="9"/>
  <c r="V38" i="2"/>
  <c r="W37" i="2"/>
  <c r="Z16" i="6"/>
  <c r="W17" i="6"/>
  <c r="W16" i="3"/>
  <c r="V17" i="3"/>
  <c r="Z9" i="6"/>
  <c r="W10" i="6"/>
  <c r="Y9" i="7"/>
  <c r="X10" i="7"/>
  <c r="AC9" i="8"/>
  <c r="AB10" i="8"/>
  <c r="AB16" i="4"/>
  <c r="AA17" i="4"/>
  <c r="W9" i="3"/>
  <c r="V10" i="3"/>
  <c r="AC16" i="5"/>
  <c r="Z17" i="5"/>
  <c r="X50" i="1"/>
  <c r="W51" i="1"/>
  <c r="W16" i="2"/>
  <c r="V17" i="2"/>
  <c r="Y58" i="12"/>
  <c r="V59" i="12"/>
  <c r="AD9" i="5"/>
  <c r="AC10" i="5"/>
  <c r="Y73" i="9"/>
  <c r="Z72" i="9"/>
  <c r="W44" i="6"/>
  <c r="V45" i="6"/>
  <c r="W72" i="1"/>
  <c r="X71" i="1"/>
  <c r="W58" i="3"/>
  <c r="X57" i="3"/>
  <c r="X65" i="4"/>
  <c r="Y64" i="4"/>
  <c r="Y31" i="4"/>
  <c r="Z30" i="4"/>
  <c r="X51" i="4"/>
  <c r="Y50" i="4"/>
  <c r="W44" i="3"/>
  <c r="V45" i="3"/>
  <c r="W58" i="1"/>
  <c r="X57" i="1"/>
  <c r="V51" i="3"/>
  <c r="W50" i="3"/>
  <c r="AA51" i="6"/>
  <c r="AB50" i="6"/>
  <c r="T51" i="10"/>
  <c r="W50" i="10"/>
  <c r="U45" i="7"/>
  <c r="X44" i="7"/>
  <c r="U31" i="7"/>
  <c r="X30" i="7"/>
  <c r="W59" i="11"/>
  <c r="X58" i="11"/>
  <c r="W51" i="11"/>
  <c r="X50" i="11"/>
  <c r="W66" i="11"/>
  <c r="X65" i="11"/>
  <c r="T66" i="10"/>
  <c r="W65" i="10"/>
  <c r="V38" i="3"/>
  <c r="W37" i="3"/>
  <c r="T45" i="10"/>
  <c r="W44" i="10"/>
  <c r="Y10" i="1"/>
  <c r="Z9" i="1"/>
  <c r="AA9" i="2"/>
  <c r="X10" i="2"/>
  <c r="X24" i="7"/>
  <c r="AC31" i="5"/>
  <c r="AD30" i="5"/>
  <c r="X24" i="8"/>
  <c r="Z51" i="5"/>
  <c r="AC50" i="5"/>
  <c r="W72" i="2"/>
  <c r="X71" i="2"/>
  <c r="V58" i="2"/>
  <c r="W57" i="2"/>
  <c r="V31" i="2"/>
  <c r="W30" i="2"/>
  <c r="Y71" i="7"/>
  <c r="X72" i="7"/>
  <c r="X30" i="11"/>
  <c r="W31" i="11"/>
  <c r="AC44" i="5"/>
  <c r="Z45" i="5"/>
  <c r="W37" i="6"/>
  <c r="V38" i="6"/>
  <c r="X24" i="3"/>
  <c r="X38" i="7"/>
  <c r="Y37" i="7"/>
  <c r="Z58" i="5"/>
  <c r="AC57" i="5"/>
  <c r="V66" i="12"/>
  <c r="Y65" i="12"/>
  <c r="V24" i="6"/>
  <c r="Y24" i="12"/>
  <c r="X31" i="1"/>
  <c r="Y30" i="1"/>
  <c r="V66" i="9"/>
  <c r="Y65" i="9"/>
  <c r="Y37" i="8"/>
  <c r="X38" i="8"/>
  <c r="W30" i="6"/>
  <c r="V31" i="6"/>
  <c r="W24" i="2"/>
  <c r="V51" i="2"/>
  <c r="W50" i="2"/>
  <c r="V38" i="12"/>
  <c r="Y37" i="12"/>
  <c r="Z58" i="9"/>
  <c r="Y59" i="9"/>
  <c r="X38" i="4"/>
  <c r="Y37" i="4"/>
  <c r="W31" i="8"/>
  <c r="X30" i="8"/>
  <c r="U51" i="7"/>
  <c r="X50" i="7"/>
  <c r="X72" i="4"/>
  <c r="Y71" i="4"/>
  <c r="Y57" i="7"/>
  <c r="X58" i="7"/>
  <c r="X37" i="11"/>
  <c r="W38" i="11"/>
  <c r="V51" i="9"/>
  <c r="Y50" i="9"/>
  <c r="V72" i="3"/>
  <c r="W71" i="3"/>
  <c r="AD65" i="5"/>
  <c r="AE64" i="5"/>
  <c r="Y58" i="4"/>
  <c r="Z57" i="4"/>
  <c r="X64" i="7"/>
  <c r="U65" i="7"/>
  <c r="Z38" i="9"/>
  <c r="AA37" i="9"/>
  <c r="Y16" i="1"/>
  <c r="X17" i="1"/>
  <c r="X45" i="4"/>
  <c r="Y44" i="4"/>
  <c r="X65" i="1"/>
  <c r="Y64" i="1"/>
  <c r="Z72" i="5"/>
  <c r="AC71" i="5"/>
  <c r="X24" i="4"/>
  <c r="V31" i="3"/>
  <c r="W30" i="3"/>
  <c r="V45" i="11"/>
  <c r="W44" i="11"/>
  <c r="T73" i="10"/>
  <c r="W72" i="10"/>
  <c r="W58" i="8"/>
  <c r="X57" i="8"/>
  <c r="T31" i="10"/>
  <c r="W30" i="10"/>
  <c r="X65" i="8"/>
  <c r="Y64" i="8"/>
  <c r="T38" i="10"/>
  <c r="W37" i="10"/>
  <c r="T24" i="10"/>
  <c r="W73" i="11"/>
  <c r="X72" i="11"/>
  <c r="T59" i="10"/>
  <c r="W58" i="10"/>
  <c r="AC24" i="5"/>
  <c r="W72" i="8"/>
  <c r="X71" i="8"/>
  <c r="Y45" i="8"/>
  <c r="AB44" i="8"/>
  <c r="Y31" i="9"/>
  <c r="Z30" i="9"/>
  <c r="V24" i="9"/>
  <c r="W72" i="6" l="1"/>
  <c r="Z71" i="6"/>
  <c r="X44" i="2"/>
  <c r="W45" i="2"/>
  <c r="Z9" i="10"/>
  <c r="Y10" i="10"/>
  <c r="AD16" i="11"/>
  <c r="AC17" i="11"/>
  <c r="AA58" i="12"/>
  <c r="Y59" i="12"/>
  <c r="Y50" i="1"/>
  <c r="X51" i="1"/>
  <c r="X9" i="3"/>
  <c r="W10" i="3"/>
  <c r="AC10" i="8"/>
  <c r="AD9" i="8"/>
  <c r="AA9" i="6"/>
  <c r="Z10" i="6"/>
  <c r="AA16" i="6"/>
  <c r="Z17" i="6"/>
  <c r="Z45" i="9"/>
  <c r="AA44" i="9"/>
  <c r="AE38" i="5"/>
  <c r="AF37" i="5"/>
  <c r="AF38" i="5" s="1"/>
  <c r="Z16" i="9"/>
  <c r="Y17" i="9"/>
  <c r="Z44" i="1"/>
  <c r="Y45" i="1"/>
  <c r="AE9" i="4"/>
  <c r="AE10" i="4" s="1"/>
  <c r="AB10" i="4"/>
  <c r="AA9" i="9"/>
  <c r="Z10" i="9"/>
  <c r="X17" i="7"/>
  <c r="Y16" i="7"/>
  <c r="W65" i="2"/>
  <c r="X64" i="2"/>
  <c r="W38" i="2"/>
  <c r="X37" i="2"/>
  <c r="X65" i="3"/>
  <c r="AA64" i="3"/>
  <c r="AE9" i="5"/>
  <c r="AD10" i="5"/>
  <c r="X16" i="2"/>
  <c r="W17" i="2"/>
  <c r="AD16" i="5"/>
  <c r="AC17" i="5"/>
  <c r="AE16" i="4"/>
  <c r="AE17" i="4" s="1"/>
  <c r="AB17" i="4"/>
  <c r="Z9" i="7"/>
  <c r="Y10" i="7"/>
  <c r="X16" i="3"/>
  <c r="W17" i="3"/>
  <c r="W58" i="6"/>
  <c r="Z57" i="6"/>
  <c r="AF16" i="12"/>
  <c r="AF17" i="12" s="1"/>
  <c r="AC17" i="12"/>
  <c r="AC24" i="11"/>
  <c r="AB72" i="12"/>
  <c r="AA73" i="12"/>
  <c r="AB9" i="12"/>
  <c r="AA10" i="12"/>
  <c r="AD37" i="1"/>
  <c r="AA38" i="1"/>
  <c r="Y16" i="8"/>
  <c r="X17" i="8"/>
  <c r="AA65" i="6"/>
  <c r="AB64" i="6"/>
  <c r="AA30" i="9"/>
  <c r="Z31" i="9"/>
  <c r="AD24" i="5"/>
  <c r="AA72" i="11"/>
  <c r="X73" i="11"/>
  <c r="X30" i="10"/>
  <c r="W31" i="10"/>
  <c r="X72" i="10"/>
  <c r="W73" i="10"/>
  <c r="Y24" i="4"/>
  <c r="Y65" i="1"/>
  <c r="Z64" i="1"/>
  <c r="Y38" i="4"/>
  <c r="Z37" i="4"/>
  <c r="X24" i="2"/>
  <c r="Y24" i="9"/>
  <c r="Y71" i="8"/>
  <c r="X72" i="8"/>
  <c r="X58" i="10"/>
  <c r="W59" i="10"/>
  <c r="W24" i="10"/>
  <c r="AB64" i="8"/>
  <c r="Y65" i="8"/>
  <c r="Y57" i="8"/>
  <c r="X58" i="8"/>
  <c r="X44" i="11"/>
  <c r="W45" i="11"/>
  <c r="W31" i="3"/>
  <c r="X30" i="3"/>
  <c r="AC72" i="5"/>
  <c r="AD71" i="5"/>
  <c r="Y45" i="4"/>
  <c r="Z44" i="4"/>
  <c r="AB37" i="9"/>
  <c r="AA38" i="9"/>
  <c r="AE65" i="5"/>
  <c r="AF64" i="5"/>
  <c r="AF65" i="5" s="1"/>
  <c r="W72" i="3"/>
  <c r="X71" i="3"/>
  <c r="Y72" i="4"/>
  <c r="Z71" i="4"/>
  <c r="X31" i="8"/>
  <c r="Y30" i="8"/>
  <c r="W51" i="2"/>
  <c r="X50" i="2"/>
  <c r="Y66" i="9"/>
  <c r="Z65" i="9"/>
  <c r="AA24" i="12"/>
  <c r="Z37" i="7"/>
  <c r="Y38" i="7"/>
  <c r="W31" i="2"/>
  <c r="X30" i="2"/>
  <c r="X72" i="2"/>
  <c r="AA71" i="2"/>
  <c r="Y24" i="8"/>
  <c r="Y24" i="7"/>
  <c r="AA9" i="1"/>
  <c r="Z10" i="1"/>
  <c r="X37" i="3"/>
  <c r="W38" i="3"/>
  <c r="AA65" i="11"/>
  <c r="X66" i="11"/>
  <c r="AA58" i="11"/>
  <c r="X59" i="11"/>
  <c r="Y44" i="7"/>
  <c r="X45" i="7"/>
  <c r="AC50" i="6"/>
  <c r="AB51" i="6"/>
  <c r="X58" i="1"/>
  <c r="Y57" i="1"/>
  <c r="Y51" i="4"/>
  <c r="Z50" i="4"/>
  <c r="Y65" i="4"/>
  <c r="Z64" i="4"/>
  <c r="X72" i="1"/>
  <c r="Y71" i="1"/>
  <c r="X65" i="7"/>
  <c r="Y64" i="7"/>
  <c r="X38" i="11"/>
  <c r="AA37" i="11"/>
  <c r="Z59" i="9"/>
  <c r="AA58" i="9"/>
  <c r="W31" i="6"/>
  <c r="Z30" i="6"/>
  <c r="W24" i="6"/>
  <c r="W38" i="6"/>
  <c r="Z37" i="6"/>
  <c r="X31" i="11"/>
  <c r="AA30" i="11"/>
  <c r="AC44" i="8"/>
  <c r="AB45" i="8"/>
  <c r="X37" i="10"/>
  <c r="W38" i="10"/>
  <c r="Z58" i="4"/>
  <c r="AA57" i="4"/>
  <c r="Y51" i="9"/>
  <c r="Z50" i="9"/>
  <c r="X51" i="7"/>
  <c r="Y50" i="7"/>
  <c r="Y38" i="12"/>
  <c r="AA37" i="12"/>
  <c r="Y31" i="1"/>
  <c r="Z30" i="1"/>
  <c r="Y66" i="12"/>
  <c r="AA65" i="12"/>
  <c r="AC58" i="5"/>
  <c r="AD57" i="5"/>
  <c r="AA24" i="3"/>
  <c r="W58" i="2"/>
  <c r="X57" i="2"/>
  <c r="AC51" i="5"/>
  <c r="AD50" i="5"/>
  <c r="AE30" i="5"/>
  <c r="AD31" i="5"/>
  <c r="X44" i="10"/>
  <c r="W45" i="10"/>
  <c r="X65" i="10"/>
  <c r="W66" i="10"/>
  <c r="AA50" i="11"/>
  <c r="X51" i="11"/>
  <c r="Y30" i="7"/>
  <c r="X31" i="7"/>
  <c r="X50" i="10"/>
  <c r="W51" i="10"/>
  <c r="W51" i="3"/>
  <c r="X50" i="3"/>
  <c r="Z31" i="4"/>
  <c r="AA30" i="4"/>
  <c r="X58" i="3"/>
  <c r="AA57" i="3"/>
  <c r="Z73" i="9"/>
  <c r="AA72" i="9"/>
  <c r="Y17" i="1"/>
  <c r="Z16" i="1"/>
  <c r="Y58" i="7"/>
  <c r="Z57" i="7"/>
  <c r="Y38" i="8"/>
  <c r="AB37" i="8"/>
  <c r="AC45" i="5"/>
  <c r="AD44" i="5"/>
  <c r="Y72" i="7"/>
  <c r="Z71" i="7"/>
  <c r="AA10" i="2"/>
  <c r="AB9" i="2"/>
  <c r="AC9" i="2" s="1"/>
  <c r="AC10" i="2" s="1"/>
  <c r="W45" i="3"/>
  <c r="X44" i="3"/>
  <c r="W45" i="6"/>
  <c r="Z44" i="6"/>
  <c r="AA71" i="6" l="1"/>
  <c r="Z72" i="6"/>
  <c r="AA44" i="2"/>
  <c r="X45" i="2"/>
  <c r="AE16" i="11"/>
  <c r="AE17" i="11" s="1"/>
  <c r="AD17" i="11"/>
  <c r="AA9" i="10"/>
  <c r="Z10" i="10"/>
  <c r="AC64" i="6"/>
  <c r="AB65" i="6"/>
  <c r="AA65" i="3"/>
  <c r="AB64" i="3"/>
  <c r="X65" i="2"/>
  <c r="AA64" i="2"/>
  <c r="AE9" i="8"/>
  <c r="AD10" i="8"/>
  <c r="AE37" i="1"/>
  <c r="AD38" i="1"/>
  <c r="AC72" i="12"/>
  <c r="AB73" i="12"/>
  <c r="AA16" i="3"/>
  <c r="X17" i="3"/>
  <c r="AA16" i="2"/>
  <c r="X17" i="2"/>
  <c r="AB9" i="9"/>
  <c r="AA10" i="9"/>
  <c r="AA44" i="1"/>
  <c r="Z45" i="1"/>
  <c r="AB16" i="6"/>
  <c r="AA17" i="6"/>
  <c r="Z50" i="1"/>
  <c r="Y51" i="1"/>
  <c r="AA57" i="6"/>
  <c r="Z58" i="6"/>
  <c r="X38" i="2"/>
  <c r="AA37" i="2"/>
  <c r="Z16" i="7"/>
  <c r="Y17" i="7"/>
  <c r="AB44" i="9"/>
  <c r="AA45" i="9"/>
  <c r="AB16" i="8"/>
  <c r="Y17" i="8"/>
  <c r="AC9" i="12"/>
  <c r="AB10" i="12"/>
  <c r="AE24" i="11"/>
  <c r="AD24" i="11"/>
  <c r="AA9" i="7"/>
  <c r="Z10" i="7"/>
  <c r="AE16" i="5"/>
  <c r="AD17" i="5"/>
  <c r="AF9" i="5"/>
  <c r="AF10" i="5" s="1"/>
  <c r="AE10" i="5"/>
  <c r="AA16" i="9"/>
  <c r="Z17" i="9"/>
  <c r="AB9" i="6"/>
  <c r="AA10" i="6"/>
  <c r="AA9" i="3"/>
  <c r="X10" i="3"/>
  <c r="AB58" i="12"/>
  <c r="AA59" i="12"/>
  <c r="AA44" i="3"/>
  <c r="X45" i="3"/>
  <c r="Z58" i="7"/>
  <c r="AA57" i="7"/>
  <c r="AD51" i="5"/>
  <c r="AE50" i="5"/>
  <c r="AB24" i="3"/>
  <c r="AA66" i="12"/>
  <c r="AB65" i="12"/>
  <c r="AA38" i="12"/>
  <c r="AB37" i="12"/>
  <c r="AA59" i="9"/>
  <c r="AB58" i="9"/>
  <c r="Y65" i="7"/>
  <c r="Z64" i="7"/>
  <c r="Z65" i="4"/>
  <c r="AA64" i="4"/>
  <c r="AB24" i="8"/>
  <c r="AB24" i="12"/>
  <c r="X51" i="2"/>
  <c r="AA50" i="2"/>
  <c r="Z45" i="4"/>
  <c r="AA44" i="4"/>
  <c r="X31" i="3"/>
  <c r="AA30" i="3"/>
  <c r="X51" i="10"/>
  <c r="Y50" i="10"/>
  <c r="AC45" i="8"/>
  <c r="AD44" i="8"/>
  <c r="Y45" i="7"/>
  <c r="Z44" i="7"/>
  <c r="AA66" i="11"/>
  <c r="AB65" i="11"/>
  <c r="AD9" i="1"/>
  <c r="AA10" i="1"/>
  <c r="Y58" i="8"/>
  <c r="AB57" i="8"/>
  <c r="X24" i="10"/>
  <c r="Y72" i="8"/>
  <c r="AB71" i="8"/>
  <c r="X31" i="10"/>
  <c r="Y30" i="10"/>
  <c r="AE24" i="5"/>
  <c r="AF24" i="5"/>
  <c r="Z45" i="6"/>
  <c r="AA44" i="6"/>
  <c r="AB10" i="2"/>
  <c r="AE44" i="5"/>
  <c r="AD45" i="5"/>
  <c r="AB38" i="8"/>
  <c r="AC37" i="8"/>
  <c r="AA16" i="1"/>
  <c r="Z17" i="1"/>
  <c r="AA58" i="3"/>
  <c r="AB57" i="3"/>
  <c r="X51" i="3"/>
  <c r="AA50" i="3"/>
  <c r="X58" i="2"/>
  <c r="AA57" i="2"/>
  <c r="AD58" i="5"/>
  <c r="AE57" i="5"/>
  <c r="Z31" i="1"/>
  <c r="AA30" i="1"/>
  <c r="Y51" i="7"/>
  <c r="Z50" i="7"/>
  <c r="AA58" i="4"/>
  <c r="AB57" i="4"/>
  <c r="Z38" i="6"/>
  <c r="AA37" i="6"/>
  <c r="Z31" i="6"/>
  <c r="AA30" i="6"/>
  <c r="AB37" i="11"/>
  <c r="AA38" i="11"/>
  <c r="Y72" i="1"/>
  <c r="Z71" i="1"/>
  <c r="Z51" i="4"/>
  <c r="AA50" i="4"/>
  <c r="AA72" i="2"/>
  <c r="AB71" i="2"/>
  <c r="AC71" i="2" s="1"/>
  <c r="AC72" i="2" s="1"/>
  <c r="Z66" i="9"/>
  <c r="AA65" i="9"/>
  <c r="Y31" i="8"/>
  <c r="AB30" i="8"/>
  <c r="X72" i="3"/>
  <c r="AA71" i="3"/>
  <c r="AD72" i="5"/>
  <c r="AE71" i="5"/>
  <c r="AA24" i="2"/>
  <c r="Z65" i="1"/>
  <c r="AA64" i="1"/>
  <c r="Z72" i="7"/>
  <c r="AA71" i="7"/>
  <c r="AB72" i="9"/>
  <c r="AA73" i="9"/>
  <c r="AA31" i="4"/>
  <c r="AB30" i="4"/>
  <c r="AA50" i="9"/>
  <c r="Z51" i="9"/>
  <c r="AB30" i="11"/>
  <c r="AA31" i="11"/>
  <c r="Z24" i="6"/>
  <c r="Y58" i="1"/>
  <c r="Z57" i="1"/>
  <c r="X31" i="2"/>
  <c r="AA30" i="2"/>
  <c r="Z72" i="4"/>
  <c r="AA71" i="4"/>
  <c r="Z38" i="4"/>
  <c r="AA37" i="4"/>
  <c r="Z24" i="4"/>
  <c r="AA51" i="11"/>
  <c r="AB50" i="11"/>
  <c r="X45" i="10"/>
  <c r="Y44" i="10"/>
  <c r="Y31" i="7"/>
  <c r="Z30" i="7"/>
  <c r="X66" i="10"/>
  <c r="Y65" i="10"/>
  <c r="AE31" i="5"/>
  <c r="AF30" i="5"/>
  <c r="AF31" i="5" s="1"/>
  <c r="X38" i="10"/>
  <c r="Y37" i="10"/>
  <c r="AD50" i="6"/>
  <c r="AD51" i="6" s="1"/>
  <c r="AC51" i="6"/>
  <c r="AA59" i="11"/>
  <c r="AB58" i="11"/>
  <c r="X38" i="3"/>
  <c r="AA37" i="3"/>
  <c r="Z24" i="7"/>
  <c r="Z38" i="7"/>
  <c r="AA37" i="7"/>
  <c r="AB38" i="9"/>
  <c r="AC37" i="9"/>
  <c r="AC38" i="9" s="1"/>
  <c r="X45" i="11"/>
  <c r="AA44" i="11"/>
  <c r="AB65" i="8"/>
  <c r="AC64" i="8"/>
  <c r="X59" i="10"/>
  <c r="Y58" i="10"/>
  <c r="Z24" i="9"/>
  <c r="X73" i="10"/>
  <c r="Y72" i="10"/>
  <c r="AA73" i="11"/>
  <c r="AB72" i="11"/>
  <c r="AA31" i="9"/>
  <c r="AB30" i="9"/>
  <c r="AA72" i="6" l="1"/>
  <c r="AB71" i="6"/>
  <c r="AA45" i="2"/>
  <c r="AB44" i="2"/>
  <c r="AD9" i="10"/>
  <c r="AA10" i="10"/>
  <c r="AA38" i="2"/>
  <c r="AB37" i="2"/>
  <c r="AC37" i="2" s="1"/>
  <c r="AC38" i="2" s="1"/>
  <c r="AB65" i="3"/>
  <c r="AC64" i="3"/>
  <c r="AC9" i="6"/>
  <c r="AB10" i="6"/>
  <c r="AB9" i="7"/>
  <c r="AA10" i="7"/>
  <c r="AB45" i="9"/>
  <c r="AC44" i="9"/>
  <c r="AC45" i="9" s="1"/>
  <c r="Z51" i="1"/>
  <c r="AA50" i="1"/>
  <c r="AB16" i="2"/>
  <c r="AC16" i="2" s="1"/>
  <c r="AC17" i="2" s="1"/>
  <c r="AA17" i="2"/>
  <c r="AA65" i="2"/>
  <c r="AB64" i="2"/>
  <c r="AC64" i="2" s="1"/>
  <c r="AC65" i="2" s="1"/>
  <c r="AC58" i="12"/>
  <c r="AB59" i="12"/>
  <c r="AF9" i="12"/>
  <c r="AF10" i="12" s="1"/>
  <c r="AC10" i="12"/>
  <c r="AD44" i="1"/>
  <c r="AA45" i="1"/>
  <c r="AF72" i="12"/>
  <c r="AF73" i="12" s="1"/>
  <c r="AC73" i="12"/>
  <c r="AF9" i="8"/>
  <c r="AF10" i="8" s="1"/>
  <c r="AE10" i="8"/>
  <c r="AB9" i="3"/>
  <c r="AA10" i="3"/>
  <c r="AB16" i="9"/>
  <c r="AA17" i="9"/>
  <c r="AF16" i="5"/>
  <c r="AF17" i="5" s="1"/>
  <c r="AE17" i="5"/>
  <c r="AC16" i="8"/>
  <c r="AB17" i="8"/>
  <c r="AA16" i="7"/>
  <c r="Z17" i="7"/>
  <c r="AA58" i="6"/>
  <c r="AB57" i="6"/>
  <c r="AC16" i="6"/>
  <c r="AB17" i="6"/>
  <c r="AC9" i="9"/>
  <c r="AC10" i="9" s="1"/>
  <c r="AB10" i="9"/>
  <c r="AB16" i="3"/>
  <c r="AA17" i="3"/>
  <c r="AF37" i="1"/>
  <c r="AE38" i="1"/>
  <c r="AC65" i="6"/>
  <c r="AD64" i="6"/>
  <c r="AD65" i="6" s="1"/>
  <c r="AC30" i="9"/>
  <c r="AC31" i="9" s="1"/>
  <c r="AB31" i="9"/>
  <c r="Z72" i="10"/>
  <c r="Y73" i="10"/>
  <c r="Z58" i="10"/>
  <c r="Y59" i="10"/>
  <c r="AB37" i="7"/>
  <c r="AA38" i="7"/>
  <c r="AA30" i="7"/>
  <c r="Z31" i="7"/>
  <c r="AA31" i="2"/>
  <c r="AB30" i="2"/>
  <c r="AC30" i="2" s="1"/>
  <c r="AC31" i="2" s="1"/>
  <c r="AA24" i="6"/>
  <c r="AB24" i="2"/>
  <c r="AA51" i="4"/>
  <c r="AB50" i="4"/>
  <c r="AA58" i="2"/>
  <c r="AB57" i="2"/>
  <c r="AC57" i="2" s="1"/>
  <c r="AC58" i="2" s="1"/>
  <c r="Z65" i="7"/>
  <c r="AA64" i="7"/>
  <c r="AB38" i="12"/>
  <c r="AC37" i="12"/>
  <c r="AC24" i="3"/>
  <c r="AB38" i="11"/>
  <c r="AC37" i="11"/>
  <c r="AC24" i="8"/>
  <c r="AC72" i="11"/>
  <c r="AB73" i="11"/>
  <c r="AA24" i="9"/>
  <c r="AD64" i="8"/>
  <c r="AC65" i="8"/>
  <c r="AA24" i="7"/>
  <c r="AC58" i="11"/>
  <c r="AB59" i="11"/>
  <c r="Z37" i="10"/>
  <c r="Y38" i="10"/>
  <c r="Z65" i="10"/>
  <c r="Y66" i="10"/>
  <c r="Z44" i="10"/>
  <c r="Y45" i="10"/>
  <c r="AA24" i="4"/>
  <c r="AA72" i="4"/>
  <c r="AB71" i="4"/>
  <c r="AE71" i="4" s="1"/>
  <c r="Z58" i="1"/>
  <c r="AA57" i="1"/>
  <c r="AA72" i="7"/>
  <c r="AB71" i="7"/>
  <c r="AE72" i="5"/>
  <c r="AF71" i="5"/>
  <c r="AF72" i="5" s="1"/>
  <c r="AB31" i="8"/>
  <c r="AC30" i="8"/>
  <c r="AB72" i="2"/>
  <c r="Z72" i="1"/>
  <c r="AA71" i="1"/>
  <c r="AA31" i="6"/>
  <c r="AB30" i="6"/>
  <c r="Z51" i="7"/>
  <c r="AA50" i="7"/>
  <c r="AE58" i="5"/>
  <c r="AF57" i="5"/>
  <c r="AF58" i="5" s="1"/>
  <c r="AA51" i="3"/>
  <c r="AB50" i="3"/>
  <c r="AA45" i="6"/>
  <c r="AB44" i="6"/>
  <c r="Z30" i="10"/>
  <c r="Y31" i="10"/>
  <c r="Y24" i="10"/>
  <c r="AA44" i="7"/>
  <c r="Z45" i="7"/>
  <c r="Z50" i="10"/>
  <c r="Y51" i="10"/>
  <c r="AA45" i="4"/>
  <c r="AB44" i="4"/>
  <c r="AC24" i="12"/>
  <c r="AF24" i="12"/>
  <c r="AA65" i="4"/>
  <c r="AB64" i="4"/>
  <c r="AB59" i="9"/>
  <c r="AC58" i="9"/>
  <c r="AC59" i="9" s="1"/>
  <c r="AB66" i="12"/>
  <c r="AC65" i="12"/>
  <c r="AE51" i="5"/>
  <c r="AF50" i="5"/>
  <c r="AF51" i="5" s="1"/>
  <c r="AB44" i="11"/>
  <c r="AA45" i="11"/>
  <c r="AB37" i="3"/>
  <c r="AA38" i="3"/>
  <c r="AC50" i="11"/>
  <c r="AB51" i="11"/>
  <c r="AA38" i="4"/>
  <c r="AB37" i="4"/>
  <c r="AB31" i="4"/>
  <c r="AE30" i="4"/>
  <c r="AE31" i="4" s="1"/>
  <c r="AA65" i="1"/>
  <c r="AD64" i="1"/>
  <c r="AA72" i="3"/>
  <c r="AB71" i="3"/>
  <c r="AA66" i="9"/>
  <c r="AB65" i="9"/>
  <c r="AA38" i="6"/>
  <c r="AB37" i="6"/>
  <c r="AB58" i="4"/>
  <c r="AE57" i="4"/>
  <c r="AE58" i="4" s="1"/>
  <c r="AA31" i="1"/>
  <c r="AD30" i="1"/>
  <c r="AB58" i="3"/>
  <c r="AC57" i="3"/>
  <c r="AC38" i="8"/>
  <c r="AD37" i="8"/>
  <c r="AC71" i="8"/>
  <c r="AB72" i="8"/>
  <c r="AC57" i="8"/>
  <c r="AB58" i="8"/>
  <c r="AC65" i="11"/>
  <c r="AB66" i="11"/>
  <c r="AE44" i="8"/>
  <c r="AD45" i="8"/>
  <c r="AA31" i="3"/>
  <c r="AB30" i="3"/>
  <c r="AA51" i="2"/>
  <c r="AB50" i="2"/>
  <c r="AC50" i="2" s="1"/>
  <c r="AC51" i="2" s="1"/>
  <c r="AA58" i="7"/>
  <c r="AB57" i="7"/>
  <c r="AC30" i="11"/>
  <c r="AB31" i="11"/>
  <c r="AA51" i="9"/>
  <c r="AB50" i="9"/>
  <c r="AB73" i="9"/>
  <c r="AC72" i="9"/>
  <c r="AC73" i="9" s="1"/>
  <c r="AA17" i="1"/>
  <c r="AD16" i="1"/>
  <c r="AE45" i="5"/>
  <c r="AF44" i="5"/>
  <c r="AF45" i="5" s="1"/>
  <c r="AD10" i="1"/>
  <c r="AE9" i="1"/>
  <c r="AA45" i="3"/>
  <c r="AB44" i="3"/>
  <c r="AB72" i="6" l="1"/>
  <c r="AC71" i="6"/>
  <c r="AC44" i="2"/>
  <c r="AB45" i="2"/>
  <c r="AE9" i="10"/>
  <c r="AD10" i="10"/>
  <c r="AB65" i="2"/>
  <c r="AA51" i="1"/>
  <c r="AD50" i="1"/>
  <c r="AD64" i="3"/>
  <c r="AC65" i="3"/>
  <c r="AC16" i="3"/>
  <c r="AB17" i="3"/>
  <c r="AD16" i="6"/>
  <c r="AD17" i="6" s="1"/>
  <c r="AC17" i="6"/>
  <c r="AB16" i="7"/>
  <c r="AA17" i="7"/>
  <c r="AC9" i="3"/>
  <c r="AB10" i="3"/>
  <c r="AE9" i="7"/>
  <c r="AB10" i="7"/>
  <c r="AC57" i="6"/>
  <c r="AB58" i="6"/>
  <c r="AB38" i="2"/>
  <c r="AF38" i="1"/>
  <c r="B35" i="13"/>
  <c r="AD16" i="8"/>
  <c r="AC17" i="8"/>
  <c r="AC16" i="9"/>
  <c r="AC17" i="9" s="1"/>
  <c r="AB17" i="9"/>
  <c r="AE44" i="1"/>
  <c r="AD45" i="1"/>
  <c r="AF58" i="12"/>
  <c r="AF59" i="12" s="1"/>
  <c r="AC59" i="12"/>
  <c r="AB17" i="2"/>
  <c r="AD9" i="6"/>
  <c r="AD10" i="6" s="1"/>
  <c r="AC10" i="6"/>
  <c r="AE57" i="7"/>
  <c r="AB58" i="7"/>
  <c r="AB31" i="3"/>
  <c r="AC30" i="3"/>
  <c r="AC58" i="3"/>
  <c r="AD57" i="3"/>
  <c r="AD65" i="1"/>
  <c r="AE64" i="1"/>
  <c r="AB38" i="4"/>
  <c r="AE37" i="4"/>
  <c r="AE38" i="4" s="1"/>
  <c r="AC44" i="6"/>
  <c r="AB45" i="6"/>
  <c r="Z66" i="10"/>
  <c r="AA65" i="10"/>
  <c r="AD65" i="8"/>
  <c r="AE64" i="8"/>
  <c r="Z45" i="10"/>
  <c r="AA44" i="10"/>
  <c r="Z38" i="10"/>
  <c r="AA37" i="10"/>
  <c r="AB24" i="7"/>
  <c r="AB24" i="9"/>
  <c r="AC24" i="9"/>
  <c r="AB58" i="2"/>
  <c r="C21" i="13"/>
  <c r="AB24" i="6"/>
  <c r="AC44" i="3"/>
  <c r="AB45" i="3"/>
  <c r="AB51" i="9"/>
  <c r="AC50" i="9"/>
  <c r="AC51" i="9" s="1"/>
  <c r="AB66" i="9"/>
  <c r="AC65" i="9"/>
  <c r="AC66" i="9" s="1"/>
  <c r="AC30" i="6"/>
  <c r="AB31" i="6"/>
  <c r="AC59" i="11"/>
  <c r="AD58" i="11"/>
  <c r="AC73" i="11"/>
  <c r="AD72" i="11"/>
  <c r="AB51" i="4"/>
  <c r="AE50" i="4"/>
  <c r="AE51" i="4" s="1"/>
  <c r="AB31" i="2"/>
  <c r="AC66" i="11"/>
  <c r="AD65" i="11"/>
  <c r="AC72" i="8"/>
  <c r="AD71" i="8"/>
  <c r="AB38" i="3"/>
  <c r="AC37" i="3"/>
  <c r="Z51" i="10"/>
  <c r="AA50" i="10"/>
  <c r="Z24" i="10"/>
  <c r="AE71" i="7"/>
  <c r="AB72" i="7"/>
  <c r="AB72" i="4"/>
  <c r="AE72" i="4"/>
  <c r="AD24" i="8"/>
  <c r="AC38" i="12"/>
  <c r="AF37" i="12"/>
  <c r="AF38" i="12" s="1"/>
  <c r="AB38" i="7"/>
  <c r="AE37" i="7"/>
  <c r="Z73" i="10"/>
  <c r="AA72" i="10"/>
  <c r="AF9" i="1"/>
  <c r="AE10" i="1"/>
  <c r="AE16" i="1"/>
  <c r="AD17" i="1"/>
  <c r="AB51" i="2"/>
  <c r="AE37" i="8"/>
  <c r="AD38" i="8"/>
  <c r="AD31" i="1"/>
  <c r="AE30" i="1"/>
  <c r="AC37" i="6"/>
  <c r="AB38" i="6"/>
  <c r="AB72" i="3"/>
  <c r="AC71" i="3"/>
  <c r="AC66" i="12"/>
  <c r="AF65" i="12"/>
  <c r="AF66" i="12" s="1"/>
  <c r="AB65" i="4"/>
  <c r="AE64" i="4"/>
  <c r="AE65" i="4" s="1"/>
  <c r="AB45" i="4"/>
  <c r="AE44" i="4"/>
  <c r="AE45" i="4" s="1"/>
  <c r="AB51" i="3"/>
  <c r="AC50" i="3"/>
  <c r="AA51" i="7"/>
  <c r="AB50" i="7"/>
  <c r="AA72" i="1"/>
  <c r="AD71" i="1"/>
  <c r="AC31" i="8"/>
  <c r="AD30" i="8"/>
  <c r="AD30" i="11"/>
  <c r="AC31" i="11"/>
  <c r="AE45" i="8"/>
  <c r="AF44" i="8"/>
  <c r="AF45" i="8" s="1"/>
  <c r="AC58" i="8"/>
  <c r="AD57" i="8"/>
  <c r="AC51" i="11"/>
  <c r="AD50" i="11"/>
  <c r="AB45" i="11"/>
  <c r="AC44" i="11"/>
  <c r="AA45" i="7"/>
  <c r="AB44" i="7"/>
  <c r="Z31" i="10"/>
  <c r="AA30" i="10"/>
  <c r="AA58" i="1"/>
  <c r="AD57" i="1"/>
  <c r="AB24" i="4"/>
  <c r="AE24" i="4"/>
  <c r="AD37" i="11"/>
  <c r="AC38" i="11"/>
  <c r="AD24" i="3"/>
  <c r="AE24" i="3"/>
  <c r="AB64" i="7"/>
  <c r="AA65" i="7"/>
  <c r="AA31" i="7"/>
  <c r="AB30" i="7"/>
  <c r="Z59" i="10"/>
  <c r="AA58" i="10"/>
  <c r="AD71" i="6" l="1"/>
  <c r="AD72" i="6" s="1"/>
  <c r="AC72" i="6"/>
  <c r="AC45" i="2"/>
  <c r="C54" i="13"/>
  <c r="D54" i="13" s="1"/>
  <c r="E54" i="13" s="1"/>
  <c r="F54" i="13" s="1"/>
  <c r="G54" i="13" s="1"/>
  <c r="AF9" i="10"/>
  <c r="AF10" i="10" s="1"/>
  <c r="AE10" i="10"/>
  <c r="AD51" i="1"/>
  <c r="AE50" i="1"/>
  <c r="AF44" i="1"/>
  <c r="AE45" i="1"/>
  <c r="AF9" i="7"/>
  <c r="AF10" i="7" s="1"/>
  <c r="AE10" i="7"/>
  <c r="AD16" i="3"/>
  <c r="AC17" i="3"/>
  <c r="C35" i="13"/>
  <c r="AE16" i="8"/>
  <c r="AD17" i="8"/>
  <c r="AE16" i="7"/>
  <c r="AB17" i="7"/>
  <c r="AC58" i="6"/>
  <c r="AD57" i="6"/>
  <c r="AD58" i="6" s="1"/>
  <c r="AD9" i="3"/>
  <c r="AC10" i="3"/>
  <c r="AD65" i="3"/>
  <c r="AE64" i="3"/>
  <c r="AE65" i="3" s="1"/>
  <c r="AC38" i="6"/>
  <c r="AD37" i="6"/>
  <c r="AD38" i="6" s="1"/>
  <c r="AE38" i="8"/>
  <c r="AF37" i="8"/>
  <c r="AF38" i="8" s="1"/>
  <c r="AE17" i="1"/>
  <c r="AF16" i="1"/>
  <c r="AC45" i="3"/>
  <c r="AD44" i="3"/>
  <c r="AF64" i="8"/>
  <c r="AF65" i="8" s="1"/>
  <c r="AE65" i="8"/>
  <c r="AE65" i="1"/>
  <c r="AF64" i="1"/>
  <c r="AD44" i="11"/>
  <c r="AC45" i="11"/>
  <c r="AE57" i="8"/>
  <c r="AD58" i="8"/>
  <c r="AD72" i="1"/>
  <c r="AE71" i="1"/>
  <c r="AC51" i="3"/>
  <c r="AD50" i="3"/>
  <c r="AC72" i="3"/>
  <c r="AD71" i="3"/>
  <c r="AE31" i="1"/>
  <c r="AF30" i="1"/>
  <c r="AE24" i="8"/>
  <c r="AF24" i="8"/>
  <c r="AE71" i="8"/>
  <c r="AD72" i="8"/>
  <c r="AF24" i="7"/>
  <c r="AE24" i="7"/>
  <c r="AD44" i="10"/>
  <c r="AA45" i="10"/>
  <c r="AC45" i="6"/>
  <c r="AD44" i="6"/>
  <c r="AD45" i="6" s="1"/>
  <c r="AD58" i="10"/>
  <c r="AA59" i="10"/>
  <c r="AD58" i="1"/>
  <c r="AE57" i="1"/>
  <c r="AE30" i="11"/>
  <c r="AE31" i="11" s="1"/>
  <c r="AD31" i="11"/>
  <c r="AF10" i="1"/>
  <c r="C9" i="13" s="1"/>
  <c r="B8" i="13"/>
  <c r="C8" i="13" s="1"/>
  <c r="AE72" i="7"/>
  <c r="AF71" i="7"/>
  <c r="AF72" i="7" s="1"/>
  <c r="AC31" i="6"/>
  <c r="AD30" i="6"/>
  <c r="AD31" i="6" s="1"/>
  <c r="AC24" i="6"/>
  <c r="AD24" i="6"/>
  <c r="AD65" i="10"/>
  <c r="AA66" i="10"/>
  <c r="AD58" i="3"/>
  <c r="AE57" i="3"/>
  <c r="AE58" i="3" s="1"/>
  <c r="AE30" i="7"/>
  <c r="AB31" i="7"/>
  <c r="AC31" i="3"/>
  <c r="AD30" i="3"/>
  <c r="AD30" i="10"/>
  <c r="AA31" i="10"/>
  <c r="C61" i="13"/>
  <c r="AF37" i="7"/>
  <c r="AF38" i="7" s="1"/>
  <c r="AE38" i="7"/>
  <c r="AD50" i="10"/>
  <c r="AA51" i="10"/>
  <c r="AE72" i="11"/>
  <c r="AE73" i="11" s="1"/>
  <c r="AD73" i="11"/>
  <c r="AB65" i="7"/>
  <c r="AE64" i="7"/>
  <c r="AD38" i="11"/>
  <c r="AE37" i="11"/>
  <c r="AE38" i="11" s="1"/>
  <c r="AE44" i="7"/>
  <c r="AB45" i="7"/>
  <c r="AE50" i="11"/>
  <c r="AE51" i="11" s="1"/>
  <c r="AD51" i="11"/>
  <c r="AD31" i="8"/>
  <c r="AE30" i="8"/>
  <c r="AB51" i="7"/>
  <c r="AE50" i="7"/>
  <c r="AD72" i="10"/>
  <c r="AA73" i="10"/>
  <c r="AA24" i="10"/>
  <c r="AC38" i="3"/>
  <c r="AD37" i="3"/>
  <c r="AE65" i="11"/>
  <c r="AE66" i="11" s="1"/>
  <c r="AD66" i="11"/>
  <c r="AE58" i="11"/>
  <c r="AE59" i="11" s="1"/>
  <c r="AD59" i="11"/>
  <c r="D21" i="13"/>
  <c r="E21" i="13" s="1"/>
  <c r="F21" i="13" s="1"/>
  <c r="G21" i="13" s="1"/>
  <c r="H21" i="13" s="1"/>
  <c r="AD37" i="10"/>
  <c r="AA38" i="10"/>
  <c r="AE58" i="7"/>
  <c r="AF57" i="7"/>
  <c r="AF58" i="7" s="1"/>
  <c r="AE9" i="3" l="1"/>
  <c r="AD10" i="3"/>
  <c r="AF16" i="7"/>
  <c r="AF17" i="7" s="1"/>
  <c r="AE17" i="7"/>
  <c r="AE16" i="3"/>
  <c r="AE17" i="3" s="1"/>
  <c r="AD17" i="3"/>
  <c r="AF45" i="1"/>
  <c r="B41" i="13"/>
  <c r="C41" i="13" s="1"/>
  <c r="AF16" i="8"/>
  <c r="AF17" i="8" s="1"/>
  <c r="AE17" i="8"/>
  <c r="AE51" i="1"/>
  <c r="AF50" i="1"/>
  <c r="D8" i="13"/>
  <c r="E8" i="13" s="1"/>
  <c r="F8" i="13" s="1"/>
  <c r="G8" i="13" s="1"/>
  <c r="H8" i="13" s="1"/>
  <c r="I8" i="13" s="1"/>
  <c r="J8" i="13" s="1"/>
  <c r="K8" i="13" s="1"/>
  <c r="L8" i="13" s="1"/>
  <c r="M8" i="13" s="1"/>
  <c r="AE58" i="1"/>
  <c r="AF57" i="1"/>
  <c r="AF58" i="1" s="1"/>
  <c r="AD72" i="3"/>
  <c r="AE71" i="3"/>
  <c r="AE72" i="3" s="1"/>
  <c r="AE72" i="1"/>
  <c r="AF71" i="1"/>
  <c r="B15" i="13"/>
  <c r="C15" i="13" s="1"/>
  <c r="AF17" i="1"/>
  <c r="I21" i="13"/>
  <c r="J21" i="13" s="1"/>
  <c r="AD24" i="10"/>
  <c r="AD31" i="10"/>
  <c r="AE30" i="10"/>
  <c r="AE31" i="7"/>
  <c r="AF30" i="7"/>
  <c r="AF31" i="7" s="1"/>
  <c r="AD66" i="10"/>
  <c r="AE65" i="10"/>
  <c r="AD38" i="3"/>
  <c r="AE37" i="3"/>
  <c r="AE31" i="8"/>
  <c r="AF30" i="8"/>
  <c r="AF31" i="8" s="1"/>
  <c r="AE65" i="7"/>
  <c r="AF64" i="7"/>
  <c r="AF65" i="7" s="1"/>
  <c r="AD31" i="3"/>
  <c r="AE30" i="3"/>
  <c r="AE31" i="3" s="1"/>
  <c r="AF31" i="1"/>
  <c r="B28" i="13"/>
  <c r="C28" i="13" s="1"/>
  <c r="AD51" i="3"/>
  <c r="AE50" i="3"/>
  <c r="AE51" i="3" s="1"/>
  <c r="AF65" i="1"/>
  <c r="B67" i="13"/>
  <c r="AE44" i="3"/>
  <c r="AD45" i="3"/>
  <c r="AD73" i="10"/>
  <c r="AE72" i="10"/>
  <c r="AE45" i="7"/>
  <c r="AF44" i="7"/>
  <c r="AD51" i="10"/>
  <c r="AE50" i="10"/>
  <c r="C62" i="13"/>
  <c r="D61" i="13"/>
  <c r="AD59" i="10"/>
  <c r="AE58" i="10"/>
  <c r="AD45" i="10"/>
  <c r="AE44" i="10"/>
  <c r="AE72" i="8"/>
  <c r="AF71" i="8"/>
  <c r="AF72" i="8" s="1"/>
  <c r="AE58" i="8"/>
  <c r="AF57" i="8"/>
  <c r="AF58" i="8" s="1"/>
  <c r="AD38" i="10"/>
  <c r="AE37" i="10"/>
  <c r="AE51" i="7"/>
  <c r="AF50" i="7"/>
  <c r="AF51" i="7" s="1"/>
  <c r="AD45" i="11"/>
  <c r="AE44" i="11"/>
  <c r="AE45" i="11" s="1"/>
  <c r="AE10" i="3" l="1"/>
  <c r="D9" i="13" s="1"/>
  <c r="E9" i="13" s="1"/>
  <c r="F9" i="13" s="1"/>
  <c r="G9" i="13" s="1"/>
  <c r="H9" i="13" s="1"/>
  <c r="I9" i="13" s="1"/>
  <c r="J9" i="13" s="1"/>
  <c r="K9" i="13" s="1"/>
  <c r="L9" i="13" s="1"/>
  <c r="M9" i="13" s="1"/>
  <c r="AH12" i="3"/>
  <c r="D28" i="13"/>
  <c r="E28" i="13" s="1"/>
  <c r="F28" i="13" s="1"/>
  <c r="G28" i="13" s="1"/>
  <c r="H28" i="13" s="1"/>
  <c r="I28" i="13" s="1"/>
  <c r="J28" i="13" s="1"/>
  <c r="D15" i="13"/>
  <c r="E15" i="13" s="1"/>
  <c r="F15" i="13" s="1"/>
  <c r="G15" i="13" s="1"/>
  <c r="H15" i="13" s="1"/>
  <c r="I15" i="13" s="1"/>
  <c r="J15" i="13" s="1"/>
  <c r="K15" i="13" s="1"/>
  <c r="L15" i="13" s="1"/>
  <c r="M15" i="13" s="1"/>
  <c r="AF51" i="1"/>
  <c r="B47" i="13"/>
  <c r="C47" i="13" s="1"/>
  <c r="D47" i="13" s="1"/>
  <c r="E47" i="13" s="1"/>
  <c r="F47" i="13" s="1"/>
  <c r="G47" i="13" s="1"/>
  <c r="H47" i="13" s="1"/>
  <c r="I47" i="13" s="1"/>
  <c r="J47" i="13" s="1"/>
  <c r="AF50" i="10"/>
  <c r="AF51" i="10" s="1"/>
  <c r="AE51" i="10"/>
  <c r="C67" i="13"/>
  <c r="B68" i="13"/>
  <c r="AF44" i="10"/>
  <c r="AF45" i="10" s="1"/>
  <c r="AE45" i="10"/>
  <c r="D62" i="13"/>
  <c r="E61" i="13"/>
  <c r="AF45" i="7"/>
  <c r="H54" i="13"/>
  <c r="I54" i="13" s="1"/>
  <c r="J54" i="13" s="1"/>
  <c r="AF72" i="1"/>
  <c r="B73" i="13"/>
  <c r="AF37" i="10"/>
  <c r="AF38" i="10" s="1"/>
  <c r="AE38" i="10"/>
  <c r="AF58" i="10"/>
  <c r="AF59" i="10" s="1"/>
  <c r="AE59" i="10"/>
  <c r="AF72" i="10"/>
  <c r="AF73" i="10" s="1"/>
  <c r="AE73" i="10"/>
  <c r="AE38" i="3"/>
  <c r="D35" i="13"/>
  <c r="E35" i="13" s="1"/>
  <c r="F35" i="13" s="1"/>
  <c r="G35" i="13" s="1"/>
  <c r="H35" i="13" s="1"/>
  <c r="I35" i="13" s="1"/>
  <c r="J35" i="13" s="1"/>
  <c r="AF24" i="10"/>
  <c r="AE24" i="10"/>
  <c r="AE45" i="3"/>
  <c r="D41" i="13"/>
  <c r="E41" i="13" s="1"/>
  <c r="F41" i="13" s="1"/>
  <c r="G41" i="13" s="1"/>
  <c r="H41" i="13" s="1"/>
  <c r="I41" i="13" s="1"/>
  <c r="J41" i="13" s="1"/>
  <c r="AF65" i="10"/>
  <c r="AF66" i="10" s="1"/>
  <c r="AE66" i="10"/>
  <c r="AF30" i="10"/>
  <c r="AF31" i="10" s="1"/>
  <c r="AE31" i="10"/>
  <c r="K21" i="13"/>
  <c r="L21" i="13" s="1"/>
  <c r="M21" i="13" s="1"/>
  <c r="K28" i="13" l="1"/>
  <c r="L28" i="13" s="1"/>
  <c r="M28" i="13" s="1"/>
  <c r="K47" i="13"/>
  <c r="L47" i="13" s="1"/>
  <c r="M47" i="13" s="1"/>
  <c r="K41" i="13"/>
  <c r="L41" i="13" s="1"/>
  <c r="M41" i="13" s="1"/>
  <c r="K35" i="13"/>
  <c r="L35" i="13" s="1"/>
  <c r="M35" i="13" s="1"/>
  <c r="K54" i="13"/>
  <c r="L54" i="13" s="1"/>
  <c r="M54" i="13" s="1"/>
  <c r="E62" i="13"/>
  <c r="F61" i="13"/>
  <c r="C73" i="13"/>
  <c r="B74" i="13"/>
  <c r="D67" i="13"/>
  <c r="C68" i="13"/>
  <c r="D73" i="13" l="1"/>
  <c r="C74" i="13"/>
  <c r="F62" i="13"/>
  <c r="G61" i="13"/>
  <c r="D68" i="13"/>
  <c r="E67" i="13"/>
  <c r="H61" i="13" l="1"/>
  <c r="G62" i="13"/>
  <c r="F67" i="13"/>
  <c r="E68" i="13"/>
  <c r="D74" i="13"/>
  <c r="E73" i="13"/>
  <c r="G67" i="13" l="1"/>
  <c r="F68" i="13"/>
  <c r="F73" i="13"/>
  <c r="E74" i="13"/>
  <c r="H62" i="13"/>
  <c r="I61" i="13"/>
  <c r="I62" i="13" l="1"/>
  <c r="J61" i="13"/>
  <c r="G73" i="13"/>
  <c r="F74" i="13"/>
  <c r="H67" i="13"/>
  <c r="G68" i="13"/>
  <c r="H73" i="13" l="1"/>
  <c r="G74" i="13"/>
  <c r="J62" i="13"/>
  <c r="K61" i="13"/>
  <c r="H68" i="13"/>
  <c r="I67" i="13"/>
  <c r="L61" i="13" l="1"/>
  <c r="K62" i="13"/>
  <c r="J67" i="13"/>
  <c r="I68" i="13"/>
  <c r="H74" i="13"/>
  <c r="I73" i="13"/>
  <c r="J73" i="13" l="1"/>
  <c r="I74" i="13"/>
  <c r="K67" i="13"/>
  <c r="J68" i="13"/>
  <c r="L62" i="13"/>
  <c r="M61" i="13"/>
  <c r="M62" i="13" s="1"/>
  <c r="L67" i="13" l="1"/>
  <c r="K68" i="13"/>
  <c r="K73" i="13"/>
  <c r="J74" i="13"/>
  <c r="L73" i="13" l="1"/>
  <c r="K74" i="13"/>
  <c r="L68" i="13"/>
  <c r="M67" i="13"/>
  <c r="M68" i="13" s="1"/>
  <c r="L74" i="13" l="1"/>
  <c r="M73" i="13"/>
  <c r="M74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WS342</author>
  </authors>
  <commentList>
    <comment ref="Q5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Sete et Lunel 6j ouvres</t>
        </r>
      </text>
    </comment>
    <comment ref="U5" authorId="0" shapeId="0" xr:uid="{00000000-0006-0000-0D00-000002000000}">
      <text>
        <r>
          <rPr>
            <b/>
            <sz val="8"/>
            <color indexed="81"/>
            <rFont val="Tahoma"/>
            <family val="2"/>
          </rPr>
          <t>Sete et Lunel 18 jours ouvres</t>
        </r>
      </text>
    </comment>
    <comment ref="Q10" authorId="0" shapeId="0" xr:uid="{00000000-0006-0000-0D00-000003000000}">
      <text>
        <r>
          <rPr>
            <b/>
            <sz val="8"/>
            <color indexed="81"/>
            <rFont val="Tahoma"/>
            <family val="2"/>
          </rPr>
          <t>Fermeture Aout 3 semaines</t>
        </r>
      </text>
    </comment>
    <comment ref="U10" authorId="0" shapeId="0" xr:uid="{00000000-0006-0000-0D00-000004000000}">
      <text>
        <r>
          <rPr>
            <b/>
            <sz val="8"/>
            <color indexed="81"/>
            <rFont val="Tahoma"/>
            <family val="2"/>
          </rPr>
          <t>Fermeture Noel 1 semaine</t>
        </r>
      </text>
    </comment>
    <comment ref="Q11" authorId="0" shapeId="0" xr:uid="{00000000-0006-0000-0D00-000005000000}">
      <text>
        <r>
          <rPr>
            <b/>
            <sz val="8"/>
            <color indexed="81"/>
            <rFont val="Tahoma"/>
            <family val="2"/>
          </rPr>
          <t>Fermeture Aout 3 semaines</t>
        </r>
      </text>
    </comment>
    <comment ref="U11" authorId="0" shapeId="0" xr:uid="{00000000-0006-0000-0D00-000006000000}">
      <text>
        <r>
          <rPr>
            <b/>
            <sz val="8"/>
            <color indexed="81"/>
            <rFont val="Tahoma"/>
            <family val="2"/>
          </rPr>
          <t>Fermeture Noel 1 semaine</t>
        </r>
      </text>
    </comment>
  </commentList>
</comments>
</file>

<file path=xl/sharedStrings.xml><?xml version="1.0" encoding="utf-8"?>
<sst xmlns="http://schemas.openxmlformats.org/spreadsheetml/2006/main" count="729" uniqueCount="49">
  <si>
    <t>Suivi objectif réalisation CA par atelier</t>
  </si>
  <si>
    <t xml:space="preserve">OBJECTIF </t>
  </si>
  <si>
    <t>% DE REALISATION</t>
  </si>
  <si>
    <t>PRESTIGE AUTO MONTPELLIER</t>
  </si>
  <si>
    <t>PRESTIGE AUTO NIMES</t>
  </si>
  <si>
    <t>SETE</t>
  </si>
  <si>
    <t>LUNEL</t>
  </si>
  <si>
    <t>CARROSSERIE ST JEAN DE VEDAS</t>
  </si>
  <si>
    <t>CA REALISE (CLIENT CESSION GARANTIE)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</si>
  <si>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</si>
  <si>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</si>
  <si>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</si>
  <si>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</si>
  <si>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</si>
  <si>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</si>
  <si>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</si>
  <si>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</si>
  <si>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</si>
  <si>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</si>
  <si>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</si>
  <si>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</si>
  <si>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J</t>
  </si>
  <si>
    <t>M</t>
  </si>
  <si>
    <t>N-1</t>
  </si>
  <si>
    <t>ECART</t>
  </si>
  <si>
    <t>BMW</t>
  </si>
  <si>
    <t>PRESTIGE MTP</t>
  </si>
  <si>
    <t>NIMES</t>
  </si>
  <si>
    <t>FORD LATTES</t>
  </si>
  <si>
    <t>CARROSSERIE</t>
  </si>
  <si>
    <t>TOTAL</t>
  </si>
  <si>
    <t>JOURS OUVRES</t>
  </si>
  <si>
    <t>CA TOTAL ANNUEL</t>
  </si>
  <si>
    <t>TOTAL JOURS OUVRES 2015</t>
  </si>
  <si>
    <t>TOTAL POUR SETE ET LUNEL</t>
  </si>
  <si>
    <t>PRESTIGE</t>
  </si>
  <si>
    <t>LATTES</t>
  </si>
  <si>
    <t>Ecart/N-1</t>
  </si>
  <si>
    <t>Annule 2014</t>
  </si>
  <si>
    <t>/Mois</t>
  </si>
  <si>
    <t>FORD RODEZ</t>
  </si>
  <si>
    <t>LAND ROVER RODEZ</t>
  </si>
  <si>
    <t>GRIM PASSION PEROLS</t>
  </si>
  <si>
    <t>GRIM PASSION LATTES</t>
  </si>
  <si>
    <t>FORD PEROLS</t>
  </si>
  <si>
    <t>GRIM AUTO FORD LATTES</t>
  </si>
  <si>
    <t>GRIM AUTO FORD FENOUILLET</t>
  </si>
  <si>
    <t>GRIM PASSION FENOUILLET</t>
  </si>
  <si>
    <t>LAND ROVER  RODEZ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</si>
</sst>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6"/>
      <name val="Arial"/>
      <family val="2"/>
    </font>
    <font>
      <b/>
      <sz val="11"/>
      <color rgb="FF000000"/>
      <name val="Calibri"/>
      <family val="2"/>
    </font>
    <font>
      <b/>
      <sz val="8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u/>
      <sz val="20"/>
      <color theme="1"/>
      <name val="Calibri"/>
      <family val="2"/>
      <scheme val="minor"/>
    </font>
    <font>
      <b/>
      <sz val="8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EEECE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rgb="FFEEEC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EECE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EEECE1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FFFF00"/>
        <bgColor rgb="FF00000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9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1"/>
    <xf numFmtId="0" fontId="1" fillId="0" borderId="0" xfId="1" applyFill="1" applyBorder="1"/>
    <xf numFmtId="0" fontId="5" fillId="0" borderId="0" xfId="1" applyFont="1"/>
    <xf numFmtId="9" fontId="6" fillId="3" borderId="1" xfId="2" applyFont="1" applyFill="1" applyBorder="1"/>
    <xf numFmtId="0" fontId="7" fillId="5" borderId="4" xfId="1" applyFont="1" applyFill="1" applyBorder="1" applyAlignment="1">
      <alignment horizontal="center"/>
    </xf>
    <xf numFmtId="0" fontId="7" fillId="5" borderId="9" xfId="1" applyFont="1" applyFill="1" applyBorder="1" applyAlignment="1">
      <alignment horizontal="center"/>
    </xf>
    <xf numFmtId="9" fontId="6" fillId="3" borderId="2" xfId="2" applyFont="1" applyFill="1" applyBorder="1"/>
    <xf numFmtId="0" fontId="0" fillId="0" borderId="0" xfId="0" applyBorder="1"/>
    <xf numFmtId="0" fontId="0" fillId="0" borderId="0" xfId="0" applyFill="1" applyBorder="1"/>
    <xf numFmtId="0" fontId="3" fillId="0" borderId="0" xfId="1" applyFont="1" applyFill="1" applyBorder="1"/>
    <xf numFmtId="9" fontId="6" fillId="0" borderId="0" xfId="2" applyFont="1" applyFill="1" applyBorder="1"/>
    <xf numFmtId="0" fontId="8" fillId="0" borderId="10" xfId="1" applyFont="1" applyFill="1" applyBorder="1"/>
    <xf numFmtId="0" fontId="8" fillId="0" borderId="0" xfId="1" applyFont="1" applyFill="1" applyBorder="1"/>
    <xf numFmtId="0" fontId="4" fillId="0" borderId="0" xfId="1" applyFont="1" applyFill="1" applyBorder="1"/>
    <xf numFmtId="9" fontId="6" fillId="6" borderId="1" xfId="2" applyFont="1" applyFill="1" applyBorder="1"/>
    <xf numFmtId="9" fontId="6" fillId="6" borderId="2" xfId="2" applyFont="1" applyFill="1" applyBorder="1"/>
    <xf numFmtId="0" fontId="7" fillId="5" borderId="1" xfId="1" applyFont="1" applyFill="1" applyBorder="1" applyAlignment="1">
      <alignment horizontal="center"/>
    </xf>
    <xf numFmtId="0" fontId="2" fillId="0" borderId="6" xfId="1" applyFont="1" applyBorder="1"/>
    <xf numFmtId="0" fontId="8" fillId="3" borderId="7" xfId="1" applyFont="1" applyFill="1" applyBorder="1"/>
    <xf numFmtId="0" fontId="8" fillId="3" borderId="8" xfId="1" applyFont="1" applyFill="1" applyBorder="1"/>
    <xf numFmtId="9" fontId="6" fillId="8" borderId="1" xfId="2" applyFont="1" applyFill="1" applyBorder="1"/>
    <xf numFmtId="9" fontId="6" fillId="8" borderId="2" xfId="2" applyFont="1" applyFill="1" applyBorder="1"/>
    <xf numFmtId="9" fontId="6" fillId="7" borderId="2" xfId="2" applyFont="1" applyFill="1" applyBorder="1"/>
    <xf numFmtId="0" fontId="2" fillId="7" borderId="1" xfId="1" applyFont="1" applyFill="1" applyBorder="1"/>
    <xf numFmtId="0" fontId="2" fillId="8" borderId="1" xfId="1" applyFont="1" applyFill="1" applyBorder="1"/>
    <xf numFmtId="9" fontId="6" fillId="2" borderId="2" xfId="2" applyFont="1" applyFill="1" applyBorder="1"/>
    <xf numFmtId="0" fontId="7" fillId="5" borderId="0" xfId="1" applyFont="1" applyFill="1" applyBorder="1" applyAlignment="1">
      <alignment horizontal="center"/>
    </xf>
    <xf numFmtId="0" fontId="0" fillId="0" borderId="1" xfId="0" applyFill="1" applyBorder="1"/>
    <xf numFmtId="0" fontId="1" fillId="0" borderId="1" xfId="1" applyFill="1" applyBorder="1"/>
    <xf numFmtId="9" fontId="6" fillId="0" borderId="1" xfId="2" applyFont="1" applyFill="1" applyBorder="1"/>
    <xf numFmtId="0" fontId="0" fillId="0" borderId="1" xfId="0" applyBorder="1"/>
    <xf numFmtId="0" fontId="12" fillId="0" borderId="0" xfId="0" applyFont="1"/>
    <xf numFmtId="0" fontId="11" fillId="10" borderId="12" xfId="0" applyFont="1" applyFill="1" applyBorder="1"/>
    <xf numFmtId="0" fontId="12" fillId="0" borderId="1" xfId="0" applyFont="1" applyBorder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10" borderId="17" xfId="0" applyFont="1" applyFill="1" applyBorder="1"/>
    <xf numFmtId="1" fontId="0" fillId="0" borderId="0" xfId="0" applyNumberFormat="1"/>
    <xf numFmtId="1" fontId="12" fillId="0" borderId="1" xfId="0" applyNumberFormat="1" applyFont="1" applyBorder="1"/>
    <xf numFmtId="0" fontId="13" fillId="10" borderId="11" xfId="0" applyFont="1" applyFill="1" applyBorder="1"/>
    <xf numFmtId="17" fontId="13" fillId="10" borderId="4" xfId="0" applyNumberFormat="1" applyFont="1" applyFill="1" applyBorder="1"/>
    <xf numFmtId="0" fontId="13" fillId="10" borderId="9" xfId="0" applyFont="1" applyFill="1" applyBorder="1"/>
    <xf numFmtId="0" fontId="12" fillId="0" borderId="5" xfId="0" applyFont="1" applyBorder="1"/>
    <xf numFmtId="1" fontId="12" fillId="0" borderId="5" xfId="0" applyNumberFormat="1" applyFont="1" applyBorder="1"/>
    <xf numFmtId="1" fontId="12" fillId="9" borderId="1" xfId="0" applyNumberFormat="1" applyFont="1" applyFill="1" applyBorder="1"/>
    <xf numFmtId="0" fontId="12" fillId="0" borderId="18" xfId="0" applyFont="1" applyBorder="1"/>
    <xf numFmtId="1" fontId="12" fillId="0" borderId="18" xfId="0" applyNumberFormat="1" applyFont="1" applyBorder="1"/>
    <xf numFmtId="1" fontId="12" fillId="0" borderId="2" xfId="0" applyNumberFormat="1" applyFont="1" applyBorder="1"/>
    <xf numFmtId="1" fontId="12" fillId="0" borderId="3" xfId="0" applyNumberFormat="1" applyFont="1" applyBorder="1"/>
    <xf numFmtId="0" fontId="12" fillId="0" borderId="13" xfId="0" applyFont="1" applyFill="1" applyBorder="1"/>
    <xf numFmtId="0" fontId="2" fillId="3" borderId="1" xfId="1" applyFont="1" applyFill="1" applyBorder="1"/>
    <xf numFmtId="9" fontId="6" fillId="11" borderId="1" xfId="2" applyFont="1" applyFill="1" applyBorder="1"/>
    <xf numFmtId="9" fontId="6" fillId="11" borderId="2" xfId="2" applyFont="1" applyFill="1" applyBorder="1"/>
    <xf numFmtId="9" fontId="16" fillId="6" borderId="21" xfId="0" applyNumberFormat="1" applyFont="1" applyFill="1" applyBorder="1"/>
    <xf numFmtId="0" fontId="2" fillId="2" borderId="1" xfId="1" applyFont="1" applyFill="1" applyBorder="1"/>
    <xf numFmtId="0" fontId="12" fillId="0" borderId="0" xfId="0" applyFont="1" applyBorder="1"/>
    <xf numFmtId="0" fontId="2" fillId="0" borderId="0" xfId="1" applyFont="1" applyFill="1" applyBorder="1"/>
    <xf numFmtId="0" fontId="2" fillId="9" borderId="1" xfId="1" applyFont="1" applyFill="1" applyBorder="1"/>
    <xf numFmtId="0" fontId="2" fillId="4" borderId="1" xfId="1" applyFont="1" applyFill="1" applyBorder="1"/>
    <xf numFmtId="0" fontId="2" fillId="12" borderId="1" xfId="0" applyFont="1" applyFill="1" applyBorder="1"/>
    <xf numFmtId="0" fontId="2" fillId="11" borderId="1" xfId="1" applyFont="1" applyFill="1" applyBorder="1"/>
    <xf numFmtId="0" fontId="2" fillId="6" borderId="1" xfId="1" applyFont="1" applyFill="1" applyBorder="1"/>
    <xf numFmtId="0" fontId="2" fillId="6" borderId="19" xfId="0" applyFont="1" applyFill="1" applyBorder="1"/>
    <xf numFmtId="0" fontId="18" fillId="0" borderId="0" xfId="1" applyFont="1"/>
    <xf numFmtId="0" fontId="2" fillId="0" borderId="0" xfId="1" applyFont="1"/>
    <xf numFmtId="0" fontId="12" fillId="0" borderId="0" xfId="0" applyFont="1" applyFill="1" applyBorder="1"/>
    <xf numFmtId="0" fontId="2" fillId="13" borderId="1" xfId="0" applyFont="1" applyFill="1" applyBorder="1"/>
    <xf numFmtId="0" fontId="2" fillId="13" borderId="12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9" fontId="16" fillId="3" borderId="21" xfId="0" applyNumberFormat="1" applyFont="1" applyFill="1" applyBorder="1"/>
    <xf numFmtId="9" fontId="16" fillId="3" borderId="22" xfId="0" applyNumberFormat="1" applyFont="1" applyFill="1" applyBorder="1"/>
    <xf numFmtId="0" fontId="2" fillId="14" borderId="12" xfId="0" applyFont="1" applyFill="1" applyBorder="1"/>
    <xf numFmtId="0" fontId="2" fillId="11" borderId="20" xfId="0" applyFont="1" applyFill="1" applyBorder="1"/>
    <xf numFmtId="9" fontId="16" fillId="11" borderId="22" xfId="0" applyNumberFormat="1" applyFont="1" applyFill="1" applyBorder="1"/>
    <xf numFmtId="0" fontId="2" fillId="11" borderId="19" xfId="0" applyFont="1" applyFill="1" applyBorder="1"/>
    <xf numFmtId="1" fontId="12" fillId="0" borderId="0" xfId="0" applyNumberFormat="1" applyFont="1"/>
    <xf numFmtId="1" fontId="7" fillId="5" borderId="4" xfId="1" applyNumberFormat="1" applyFont="1" applyFill="1" applyBorder="1" applyAlignment="1">
      <alignment horizontal="center"/>
    </xf>
    <xf numFmtId="1" fontId="2" fillId="2" borderId="1" xfId="1" applyNumberFormat="1" applyFont="1" applyFill="1" applyBorder="1"/>
    <xf numFmtId="1" fontId="2" fillId="3" borderId="20" xfId="0" applyNumberFormat="1" applyFont="1" applyFill="1" applyBorder="1"/>
    <xf numFmtId="1" fontId="6" fillId="3" borderId="2" xfId="2" applyNumberFormat="1" applyFont="1" applyFill="1" applyBorder="1"/>
    <xf numFmtId="1" fontId="2" fillId="3" borderId="19" xfId="0" applyNumberFormat="1" applyFont="1" applyFill="1" applyBorder="1"/>
    <xf numFmtId="1" fontId="2" fillId="8" borderId="1" xfId="1" applyNumberFormat="1" applyFont="1" applyFill="1" applyBorder="1"/>
    <xf numFmtId="0" fontId="2" fillId="6" borderId="20" xfId="0" applyFont="1" applyFill="1" applyBorder="1"/>
    <xf numFmtId="1" fontId="2" fillId="4" borderId="1" xfId="1" applyNumberFormat="1" applyFont="1" applyFill="1" applyBorder="1"/>
    <xf numFmtId="1" fontId="6" fillId="6" borderId="2" xfId="2" applyNumberFormat="1" applyFont="1" applyFill="1" applyBorder="1"/>
    <xf numFmtId="9" fontId="6" fillId="4" borderId="2" xfId="2" applyFont="1" applyFill="1" applyBorder="1"/>
    <xf numFmtId="0" fontId="2" fillId="12" borderId="12" xfId="0" applyFont="1" applyFill="1" applyBorder="1"/>
    <xf numFmtId="9" fontId="16" fillId="6" borderId="22" xfId="0" applyNumberFormat="1" applyFont="1" applyFill="1" applyBorder="1"/>
    <xf numFmtId="1" fontId="2" fillId="6" borderId="19" xfId="0" applyNumberFormat="1" applyFont="1" applyFill="1" applyBorder="1"/>
    <xf numFmtId="1" fontId="2" fillId="9" borderId="1" xfId="1" applyNumberFormat="1" applyFont="1" applyFill="1" applyBorder="1"/>
    <xf numFmtId="1" fontId="6" fillId="11" borderId="2" xfId="2" applyNumberFormat="1" applyFont="1" applyFill="1" applyBorder="1"/>
    <xf numFmtId="0" fontId="2" fillId="14" borderId="1" xfId="0" applyFont="1" applyFill="1" applyBorder="1"/>
    <xf numFmtId="9" fontId="16" fillId="11" borderId="21" xfId="0" applyNumberFormat="1" applyFont="1" applyFill="1" applyBorder="1"/>
    <xf numFmtId="1" fontId="2" fillId="11" borderId="19" xfId="0" applyNumberFormat="1" applyFont="1" applyFill="1" applyBorder="1"/>
    <xf numFmtId="1" fontId="2" fillId="11" borderId="20" xfId="0" applyNumberFormat="1" applyFont="1" applyFill="1" applyBorder="1"/>
    <xf numFmtId="0" fontId="8" fillId="0" borderId="23" xfId="1" applyFont="1" applyFill="1" applyBorder="1"/>
    <xf numFmtId="9" fontId="6" fillId="0" borderId="24" xfId="2" applyFont="1" applyFill="1" applyBorder="1"/>
    <xf numFmtId="1" fontId="2" fillId="3" borderId="1" xfId="1" applyNumberFormat="1" applyFont="1" applyFill="1" applyBorder="1"/>
    <xf numFmtId="1" fontId="2" fillId="7" borderId="1" xfId="1" applyNumberFormat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2" fillId="2" borderId="1" xfId="1" applyFont="1" applyFill="1" applyBorder="1"/>
    <xf numFmtId="0" fontId="2" fillId="4" borderId="1" xfId="1" applyFont="1" applyFill="1" applyBorder="1"/>
    <xf numFmtId="0" fontId="9" fillId="0" borderId="0" xfId="0" applyFont="1" applyAlignment="1">
      <alignment horizontal="center"/>
    </xf>
  </cellXfs>
  <cellStyles count="29"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Normal" xfId="0" builtinId="0"/>
    <cellStyle name="Normal 2" xfId="1" xr:uid="{00000000-0005-0000-0000-00001B000000}"/>
    <cellStyle name="Pourcentage 2" xfId="2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3"/>
  <sheetViews>
    <sheetView topLeftCell="B6" zoomScale="60" zoomScaleNormal="60" workbookViewId="0">
      <selection activeCell="AG39" sqref="AG39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29" width="8.7109375" customWidth="1"/>
    <col min="30" max="30" width="11.140625" bestFit="1" customWidth="1"/>
    <col min="31" max="31" width="10.140625" bestFit="1" customWidth="1"/>
    <col min="32" max="32" width="11.5703125" bestFit="1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AG1">
        <v>725000</v>
      </c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/>
      <c r="AH3">
        <f>22</f>
        <v>22</v>
      </c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I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I7" s="8"/>
      <c r="AK7" s="9"/>
    </row>
    <row r="8" spans="1:37" x14ac:dyDescent="0.25">
      <c r="A8" s="19" t="s">
        <v>8</v>
      </c>
      <c r="B8" s="59"/>
      <c r="C8" s="56">
        <v>937</v>
      </c>
      <c r="D8" s="56">
        <v>5142</v>
      </c>
      <c r="E8" s="56">
        <v>8548</v>
      </c>
      <c r="F8" s="56">
        <v>12993</v>
      </c>
      <c r="G8" s="60"/>
      <c r="H8" s="60"/>
      <c r="I8" s="56">
        <v>15791</v>
      </c>
      <c r="J8" s="68">
        <v>20445</v>
      </c>
      <c r="K8" s="69">
        <v>27384</v>
      </c>
      <c r="L8" s="56">
        <v>31560</v>
      </c>
      <c r="M8" s="56">
        <v>36949.279999999999</v>
      </c>
      <c r="N8" s="60"/>
      <c r="O8" s="60"/>
      <c r="P8" s="56">
        <v>41396</v>
      </c>
      <c r="Q8" s="68">
        <v>47051</v>
      </c>
      <c r="R8" s="69">
        <v>55758</v>
      </c>
      <c r="S8" s="56">
        <v>64492</v>
      </c>
      <c r="T8" s="56">
        <v>72736</v>
      </c>
      <c r="U8" s="60"/>
      <c r="V8" s="60"/>
      <c r="W8" s="56">
        <v>77242</v>
      </c>
      <c r="X8" s="68">
        <v>83259</v>
      </c>
      <c r="Y8" s="69">
        <v>89236</v>
      </c>
      <c r="Z8" s="56">
        <v>92343</v>
      </c>
      <c r="AA8" s="80">
        <v>99442</v>
      </c>
      <c r="AB8" s="86"/>
      <c r="AC8" s="60"/>
      <c r="AD8" s="56">
        <v>102766</v>
      </c>
      <c r="AE8" s="68">
        <v>108635</v>
      </c>
      <c r="AF8" s="69">
        <v>116703</v>
      </c>
      <c r="AG8" s="58"/>
      <c r="AI8" s="8"/>
      <c r="AK8" s="10"/>
    </row>
    <row r="9" spans="1:37" x14ac:dyDescent="0.25">
      <c r="A9" s="19" t="s">
        <v>1</v>
      </c>
      <c r="B9" s="62"/>
      <c r="C9" s="52">
        <v>5856</v>
      </c>
      <c r="D9" s="52">
        <f>C9+5856</f>
        <v>11712</v>
      </c>
      <c r="E9" s="52">
        <f t="shared" ref="E9:F9" si="0">D9+5856</f>
        <v>17568</v>
      </c>
      <c r="F9" s="52">
        <f t="shared" si="0"/>
        <v>23424</v>
      </c>
      <c r="G9" s="63"/>
      <c r="H9" s="63"/>
      <c r="I9" s="52">
        <f>F9+5856</f>
        <v>29280</v>
      </c>
      <c r="J9" s="70">
        <f>I9+5856</f>
        <v>35136</v>
      </c>
      <c r="K9" s="70">
        <f t="shared" ref="K9:M9" si="1">J9+5856</f>
        <v>40992</v>
      </c>
      <c r="L9" s="70">
        <f t="shared" si="1"/>
        <v>46848</v>
      </c>
      <c r="M9" s="70">
        <f t="shared" si="1"/>
        <v>52704</v>
      </c>
      <c r="N9" s="85"/>
      <c r="O9" s="63"/>
      <c r="P9" s="52">
        <f>M9+5856</f>
        <v>58560</v>
      </c>
      <c r="Q9" s="70">
        <f>P9+5856</f>
        <v>64416</v>
      </c>
      <c r="R9" s="70">
        <f t="shared" ref="R9:T9" si="2">Q9+5856</f>
        <v>70272</v>
      </c>
      <c r="S9" s="70">
        <f t="shared" si="2"/>
        <v>76128</v>
      </c>
      <c r="T9" s="70">
        <f t="shared" si="2"/>
        <v>81984</v>
      </c>
      <c r="U9" s="85"/>
      <c r="V9" s="63"/>
      <c r="W9" s="52">
        <f>T9+5856</f>
        <v>87840</v>
      </c>
      <c r="X9" s="70">
        <f>W9+5856</f>
        <v>93696</v>
      </c>
      <c r="Y9" s="71">
        <f>X9+5856</f>
        <v>99552</v>
      </c>
      <c r="Z9" s="71">
        <f t="shared" ref="Z9:AA9" si="3">Y9+5856</f>
        <v>105408</v>
      </c>
      <c r="AA9" s="71">
        <f t="shared" si="3"/>
        <v>111264</v>
      </c>
      <c r="AB9" s="85"/>
      <c r="AC9" s="63"/>
      <c r="AD9" s="52">
        <f>AA9+5856</f>
        <v>117120</v>
      </c>
      <c r="AE9" s="83">
        <f>AD9+5856</f>
        <v>122976</v>
      </c>
      <c r="AF9" s="83">
        <f>AE9+5856</f>
        <v>128832</v>
      </c>
      <c r="AG9" s="58"/>
      <c r="AI9" s="8"/>
      <c r="AK9" s="2"/>
    </row>
    <row r="10" spans="1:37" x14ac:dyDescent="0.25">
      <c r="A10" s="19" t="s">
        <v>2</v>
      </c>
      <c r="B10" s="53"/>
      <c r="C10" s="4">
        <f>C8/C9</f>
        <v>0.16000683060109289</v>
      </c>
      <c r="D10" s="4">
        <f t="shared" ref="D10:AF10" si="4">D8/D9</f>
        <v>0.43903688524590162</v>
      </c>
      <c r="E10" s="4">
        <f t="shared" si="4"/>
        <v>0.48656648451730417</v>
      </c>
      <c r="F10" s="4">
        <f t="shared" si="4"/>
        <v>0.5546875</v>
      </c>
      <c r="G10" s="15"/>
      <c r="H10" s="15"/>
      <c r="I10" s="4">
        <f t="shared" si="4"/>
        <v>0.53931010928961753</v>
      </c>
      <c r="J10" s="4">
        <f t="shared" si="4"/>
        <v>0.58188183060109289</v>
      </c>
      <c r="K10" s="4">
        <f t="shared" si="4"/>
        <v>0.66803278688524592</v>
      </c>
      <c r="L10" s="4">
        <f t="shared" si="4"/>
        <v>0.67366803278688525</v>
      </c>
      <c r="M10" s="4">
        <f t="shared" si="4"/>
        <v>0.70107164541590772</v>
      </c>
      <c r="N10" s="15"/>
      <c r="O10" s="15"/>
      <c r="P10" s="4">
        <f t="shared" si="4"/>
        <v>0.70689890710382519</v>
      </c>
      <c r="Q10" s="4">
        <f t="shared" si="4"/>
        <v>0.73042411823149533</v>
      </c>
      <c r="R10" s="4">
        <f t="shared" si="4"/>
        <v>0.79345969945355188</v>
      </c>
      <c r="S10" s="4">
        <f t="shared" si="4"/>
        <v>0.84715216477511557</v>
      </c>
      <c r="T10" s="4">
        <f t="shared" si="4"/>
        <v>0.8871975019516003</v>
      </c>
      <c r="U10" s="15"/>
      <c r="V10" s="15"/>
      <c r="W10" s="4">
        <f t="shared" si="4"/>
        <v>0.87934881602914394</v>
      </c>
      <c r="X10" s="4">
        <f t="shared" si="4"/>
        <v>0.88860783811475408</v>
      </c>
      <c r="Y10" s="4">
        <f t="shared" si="4"/>
        <v>0.89637576342012215</v>
      </c>
      <c r="Z10" s="4">
        <f t="shared" si="4"/>
        <v>0.87605305100182151</v>
      </c>
      <c r="AA10" s="4">
        <f t="shared" si="4"/>
        <v>0.89374820247339659</v>
      </c>
      <c r="AB10" s="15"/>
      <c r="AC10" s="15"/>
      <c r="AD10" s="4">
        <f t="shared" si="4"/>
        <v>0.8774419398907104</v>
      </c>
      <c r="AE10" s="4">
        <f t="shared" si="4"/>
        <v>0.88338374967473332</v>
      </c>
      <c r="AF10" s="4">
        <f t="shared" si="4"/>
        <v>0.90585413561847983</v>
      </c>
      <c r="AG10" s="11"/>
      <c r="AI10" s="11"/>
      <c r="AK10" s="11"/>
    </row>
    <row r="11" spans="1:37" ht="15.75" thickBot="1" x14ac:dyDescent="0.3">
      <c r="A11" s="20"/>
      <c r="B11" s="54"/>
      <c r="C11" s="7"/>
      <c r="D11" s="7"/>
      <c r="E11" s="26"/>
      <c r="F11" s="26"/>
      <c r="G11" s="16"/>
      <c r="H11" s="16"/>
      <c r="I11" s="7"/>
      <c r="J11" s="72"/>
      <c r="K11" s="73"/>
      <c r="L11" s="7"/>
      <c r="M11" s="7"/>
      <c r="N11" s="16"/>
      <c r="O11" s="16"/>
      <c r="P11" s="7"/>
      <c r="Q11" s="72"/>
      <c r="R11" s="73"/>
      <c r="S11" s="7"/>
      <c r="T11" s="7"/>
      <c r="U11" s="16"/>
      <c r="V11" s="16"/>
      <c r="W11" s="7"/>
      <c r="X11" s="72"/>
      <c r="Y11" s="73"/>
      <c r="Z11" s="7"/>
      <c r="AA11" s="82"/>
      <c r="AB11" s="87"/>
      <c r="AC11" s="16"/>
      <c r="AD11" s="7"/>
      <c r="AE11" s="72"/>
      <c r="AF11" s="73"/>
      <c r="AG11" s="11"/>
      <c r="AI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59"/>
      <c r="C15" s="56">
        <v>0</v>
      </c>
      <c r="D15" s="56">
        <v>95</v>
      </c>
      <c r="E15" s="56">
        <v>353</v>
      </c>
      <c r="F15" s="56">
        <v>927</v>
      </c>
      <c r="G15" s="60"/>
      <c r="H15" s="60"/>
      <c r="I15" s="56">
        <v>927</v>
      </c>
      <c r="J15" s="68">
        <v>927</v>
      </c>
      <c r="K15" s="69">
        <v>945</v>
      </c>
      <c r="L15" s="56">
        <v>945</v>
      </c>
      <c r="M15" s="56">
        <v>1003.61</v>
      </c>
      <c r="N15" s="60"/>
      <c r="O15" s="60"/>
      <c r="P15" s="56">
        <v>1108</v>
      </c>
      <c r="Q15" s="68">
        <v>1110</v>
      </c>
      <c r="R15" s="69">
        <v>3757</v>
      </c>
      <c r="S15" s="56">
        <v>4580</v>
      </c>
      <c r="T15" s="56">
        <v>4814</v>
      </c>
      <c r="U15" s="60"/>
      <c r="V15" s="60"/>
      <c r="W15" s="56">
        <v>4974</v>
      </c>
      <c r="X15" s="68">
        <v>5504</v>
      </c>
      <c r="Y15" s="69">
        <v>6388</v>
      </c>
      <c r="Z15" s="56">
        <v>6565</v>
      </c>
      <c r="AA15" s="80">
        <v>7493</v>
      </c>
      <c r="AB15" s="86"/>
      <c r="AC15" s="60"/>
      <c r="AD15" s="56">
        <v>7856</v>
      </c>
      <c r="AE15" s="68">
        <v>8049</v>
      </c>
      <c r="AF15" s="69">
        <v>8434</v>
      </c>
      <c r="AG15" s="32"/>
    </row>
    <row r="16" spans="1:37" x14ac:dyDescent="0.25">
      <c r="A16" s="19" t="s">
        <v>1</v>
      </c>
      <c r="B16" s="62"/>
      <c r="C16" s="52">
        <v>792</v>
      </c>
      <c r="D16" s="52">
        <f>C16+792</f>
        <v>1584</v>
      </c>
      <c r="E16" s="52">
        <f t="shared" ref="E16:F16" si="5">D16+792</f>
        <v>2376</v>
      </c>
      <c r="F16" s="52">
        <f t="shared" si="5"/>
        <v>3168</v>
      </c>
      <c r="G16" s="63"/>
      <c r="H16" s="63"/>
      <c r="I16" s="52">
        <f>F16+792</f>
        <v>3960</v>
      </c>
      <c r="J16" s="70">
        <f>I16+792</f>
        <v>4752</v>
      </c>
      <c r="K16" s="70">
        <f t="shared" ref="K16:M16" si="6">J16+792</f>
        <v>5544</v>
      </c>
      <c r="L16" s="70">
        <f t="shared" si="6"/>
        <v>6336</v>
      </c>
      <c r="M16" s="70">
        <f t="shared" si="6"/>
        <v>7128</v>
      </c>
      <c r="N16" s="85"/>
      <c r="O16" s="63"/>
      <c r="P16" s="52">
        <f>M16+792</f>
        <v>7920</v>
      </c>
      <c r="Q16" s="70">
        <f>P16+792</f>
        <v>8712</v>
      </c>
      <c r="R16" s="71">
        <f>Q16+792</f>
        <v>9504</v>
      </c>
      <c r="S16" s="71">
        <f t="shared" ref="S16:T16" si="7">R16+792</f>
        <v>10296</v>
      </c>
      <c r="T16" s="71">
        <f t="shared" si="7"/>
        <v>11088</v>
      </c>
      <c r="U16" s="85"/>
      <c r="V16" s="63"/>
      <c r="W16" s="52">
        <f>T16+792</f>
        <v>11880</v>
      </c>
      <c r="X16" s="70">
        <f>W16+792</f>
        <v>12672</v>
      </c>
      <c r="Y16" s="70">
        <f t="shared" ref="Y16:AA16" si="8">X16+792</f>
        <v>13464</v>
      </c>
      <c r="Z16" s="70">
        <f t="shared" si="8"/>
        <v>14256</v>
      </c>
      <c r="AA16" s="70">
        <f t="shared" si="8"/>
        <v>15048</v>
      </c>
      <c r="AB16" s="85"/>
      <c r="AC16" s="63"/>
      <c r="AD16" s="52">
        <f>AA16+792</f>
        <v>15840</v>
      </c>
      <c r="AE16" s="83">
        <f>AD16+792</f>
        <v>16632</v>
      </c>
      <c r="AF16" s="83">
        <f>AE16+792</f>
        <v>17424</v>
      </c>
      <c r="AG16" s="32"/>
    </row>
    <row r="17" spans="1:33" x14ac:dyDescent="0.25">
      <c r="A17" s="19" t="s">
        <v>2</v>
      </c>
      <c r="B17" s="53"/>
      <c r="C17" s="4">
        <f>C15/C16</f>
        <v>0</v>
      </c>
      <c r="D17" s="4">
        <f t="shared" ref="D17:AF17" si="9">D15/D16</f>
        <v>5.9974747474747472E-2</v>
      </c>
      <c r="E17" s="4">
        <f t="shared" si="9"/>
        <v>0.14856902356902357</v>
      </c>
      <c r="F17" s="4">
        <f t="shared" si="9"/>
        <v>0.29261363636363635</v>
      </c>
      <c r="G17" s="15"/>
      <c r="H17" s="15"/>
      <c r="I17" s="4">
        <f t="shared" si="9"/>
        <v>0.2340909090909091</v>
      </c>
      <c r="J17" s="4">
        <f t="shared" si="9"/>
        <v>0.19507575757575757</v>
      </c>
      <c r="K17" s="4">
        <f t="shared" si="9"/>
        <v>0.17045454545454544</v>
      </c>
      <c r="L17" s="4">
        <f t="shared" si="9"/>
        <v>0.14914772727272727</v>
      </c>
      <c r="M17" s="4">
        <f t="shared" si="9"/>
        <v>0.14079826038159371</v>
      </c>
      <c r="N17" s="15"/>
      <c r="O17" s="15"/>
      <c r="P17" s="4">
        <f t="shared" si="9"/>
        <v>0.13989898989898991</v>
      </c>
      <c r="Q17" s="4">
        <f t="shared" si="9"/>
        <v>0.12741046831955924</v>
      </c>
      <c r="R17" s="4">
        <f t="shared" si="9"/>
        <v>0.39530723905723908</v>
      </c>
      <c r="S17" s="4">
        <f t="shared" si="9"/>
        <v>0.44483294483294483</v>
      </c>
      <c r="T17" s="4">
        <f t="shared" si="9"/>
        <v>0.43416305916305914</v>
      </c>
      <c r="U17" s="15"/>
      <c r="V17" s="15"/>
      <c r="W17" s="4">
        <f t="shared" si="9"/>
        <v>0.41868686868686866</v>
      </c>
      <c r="X17" s="4">
        <f t="shared" si="9"/>
        <v>0.43434343434343436</v>
      </c>
      <c r="Y17" s="4">
        <f t="shared" si="9"/>
        <v>0.47445038621509211</v>
      </c>
      <c r="Z17" s="4">
        <f t="shared" si="9"/>
        <v>0.46050785634118968</v>
      </c>
      <c r="AA17" s="4">
        <f t="shared" si="9"/>
        <v>0.49793992557150452</v>
      </c>
      <c r="AB17" s="15"/>
      <c r="AC17" s="15"/>
      <c r="AD17" s="4">
        <f t="shared" si="9"/>
        <v>0.49595959595959593</v>
      </c>
      <c r="AE17" s="4">
        <f t="shared" si="9"/>
        <v>0.48394660894660896</v>
      </c>
      <c r="AF17" s="4">
        <f t="shared" si="9"/>
        <v>0.48404499540863177</v>
      </c>
      <c r="AG17" s="32"/>
    </row>
    <row r="18" spans="1:33" ht="15.75" thickBot="1" x14ac:dyDescent="0.3">
      <c r="A18" s="20"/>
      <c r="B18" s="54"/>
      <c r="C18" s="7"/>
      <c r="D18" s="7"/>
      <c r="E18" s="26"/>
      <c r="F18" s="26"/>
      <c r="G18" s="16"/>
      <c r="H18" s="16"/>
      <c r="I18" s="7"/>
      <c r="J18" s="72"/>
      <c r="K18" s="73"/>
      <c r="L18" s="7"/>
      <c r="M18" s="7"/>
      <c r="N18" s="16"/>
      <c r="O18" s="16"/>
      <c r="P18" s="7"/>
      <c r="Q18" s="72"/>
      <c r="R18" s="73"/>
      <c r="S18" s="7"/>
      <c r="T18" s="7"/>
      <c r="U18" s="16"/>
      <c r="V18" s="16"/>
      <c r="W18" s="7"/>
      <c r="X18" s="72"/>
      <c r="Y18" s="73"/>
      <c r="Z18" s="7"/>
      <c r="AA18" s="82"/>
      <c r="AB18" s="87"/>
      <c r="AC18" s="16"/>
      <c r="AD18" s="7"/>
      <c r="AE18" s="72"/>
      <c r="AF18" s="73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</row>
    <row r="22" spans="1:33" x14ac:dyDescent="0.25">
      <c r="A22" s="19" t="s">
        <v>8</v>
      </c>
      <c r="B22" s="59"/>
      <c r="C22" s="56">
        <v>925</v>
      </c>
      <c r="D22" s="56">
        <v>1857</v>
      </c>
      <c r="E22" s="56">
        <v>3542</v>
      </c>
      <c r="F22" s="56">
        <v>7304</v>
      </c>
      <c r="G22" s="60"/>
      <c r="H22" s="60"/>
      <c r="I22" s="56">
        <v>9380</v>
      </c>
      <c r="J22" s="68">
        <v>10581</v>
      </c>
      <c r="K22" s="69">
        <v>13032</v>
      </c>
      <c r="L22" s="56">
        <v>16192</v>
      </c>
      <c r="M22" s="56">
        <v>20376</v>
      </c>
      <c r="N22" s="60"/>
      <c r="O22" s="60"/>
      <c r="P22" s="56">
        <v>20693</v>
      </c>
      <c r="Q22" s="68">
        <v>22764</v>
      </c>
      <c r="R22" s="69">
        <v>23920</v>
      </c>
      <c r="S22" s="56">
        <v>26455</v>
      </c>
      <c r="T22" s="56">
        <v>29232</v>
      </c>
      <c r="U22" s="60"/>
      <c r="V22" s="60"/>
      <c r="W22" s="56">
        <v>33487</v>
      </c>
      <c r="X22" s="68">
        <v>35183</v>
      </c>
      <c r="Y22" s="69">
        <v>37728</v>
      </c>
      <c r="Z22" s="56">
        <v>39945</v>
      </c>
      <c r="AA22" s="80">
        <v>42678</v>
      </c>
      <c r="AB22" s="86"/>
      <c r="AC22" s="60"/>
      <c r="AD22" s="56">
        <v>45952</v>
      </c>
      <c r="AE22" s="68">
        <v>51332</v>
      </c>
      <c r="AF22" s="69">
        <v>56371</v>
      </c>
      <c r="AG22" s="32"/>
    </row>
    <row r="23" spans="1:33" x14ac:dyDescent="0.25">
      <c r="A23" s="19" t="s">
        <v>1</v>
      </c>
      <c r="B23" s="62"/>
      <c r="C23" s="52">
        <v>2877</v>
      </c>
      <c r="D23" s="52">
        <f>C23+2877</f>
        <v>5754</v>
      </c>
      <c r="E23" s="52">
        <f>D23+2877</f>
        <v>8631</v>
      </c>
      <c r="F23" s="52">
        <f>E23+287</f>
        <v>8918</v>
      </c>
      <c r="G23" s="63"/>
      <c r="H23" s="63"/>
      <c r="I23" s="52">
        <f>F23+2877</f>
        <v>11795</v>
      </c>
      <c r="J23" s="70">
        <f>I23+2877</f>
        <v>14672</v>
      </c>
      <c r="K23" s="70">
        <f>J23+2877</f>
        <v>17549</v>
      </c>
      <c r="L23" s="70">
        <f t="shared" ref="L23:M23" si="10">K23+2877</f>
        <v>20426</v>
      </c>
      <c r="M23" s="70">
        <f t="shared" si="10"/>
        <v>23303</v>
      </c>
      <c r="N23" s="85"/>
      <c r="O23" s="63"/>
      <c r="P23" s="52">
        <f>M23+2877</f>
        <v>26180</v>
      </c>
      <c r="Q23" s="70">
        <f>P23+2877</f>
        <v>29057</v>
      </c>
      <c r="R23" s="70">
        <f t="shared" ref="R23:T23" si="11">Q23+2877</f>
        <v>31934</v>
      </c>
      <c r="S23" s="70">
        <f t="shared" si="11"/>
        <v>34811</v>
      </c>
      <c r="T23" s="70">
        <f t="shared" si="11"/>
        <v>37688</v>
      </c>
      <c r="U23" s="85"/>
      <c r="V23" s="63"/>
      <c r="W23" s="52">
        <f>T23+2877</f>
        <v>40565</v>
      </c>
      <c r="X23" s="70">
        <f>W23+2877</f>
        <v>43442</v>
      </c>
      <c r="Y23" s="70">
        <f t="shared" ref="Y23:AA23" si="12">X23+2877</f>
        <v>46319</v>
      </c>
      <c r="Z23" s="70">
        <f t="shared" si="12"/>
        <v>49196</v>
      </c>
      <c r="AA23" s="70">
        <f t="shared" si="12"/>
        <v>52073</v>
      </c>
      <c r="AB23" s="85"/>
      <c r="AC23" s="63"/>
      <c r="AD23" s="52">
        <f>AA23+2877</f>
        <v>54950</v>
      </c>
      <c r="AE23" s="83">
        <f>AD23+2877</f>
        <v>57827</v>
      </c>
      <c r="AF23" s="83">
        <f>AE23+2877</f>
        <v>60704</v>
      </c>
      <c r="AG23" s="32"/>
    </row>
    <row r="24" spans="1:33" x14ac:dyDescent="0.25">
      <c r="A24" s="19" t="s">
        <v>2</v>
      </c>
      <c r="B24" s="53"/>
      <c r="C24" s="4">
        <f>C22/C23</f>
        <v>0.32151546750086896</v>
      </c>
      <c r="D24" s="4">
        <f t="shared" ref="D24:AF24" si="13">D22/D23</f>
        <v>0.32273201251303441</v>
      </c>
      <c r="E24" s="4">
        <f t="shared" si="13"/>
        <v>0.41038118410381186</v>
      </c>
      <c r="F24" s="4">
        <f t="shared" si="13"/>
        <v>0.81901771697690062</v>
      </c>
      <c r="G24" s="15"/>
      <c r="H24" s="15"/>
      <c r="I24" s="4">
        <f t="shared" si="13"/>
        <v>0.79525222551928787</v>
      </c>
      <c r="J24" s="4">
        <f t="shared" si="13"/>
        <v>0.72116957470010901</v>
      </c>
      <c r="K24" s="4">
        <f t="shared" si="13"/>
        <v>0.74260641632001823</v>
      </c>
      <c r="L24" s="4">
        <f t="shared" si="13"/>
        <v>0.79271516694409083</v>
      </c>
      <c r="M24" s="4">
        <f t="shared" si="13"/>
        <v>0.87439385486847188</v>
      </c>
      <c r="N24" s="15"/>
      <c r="O24" s="15"/>
      <c r="P24" s="4">
        <f t="shared" si="13"/>
        <v>0.79041252864782274</v>
      </c>
      <c r="Q24" s="4">
        <f t="shared" si="13"/>
        <v>0.78342568055890149</v>
      </c>
      <c r="R24" s="4">
        <f t="shared" si="13"/>
        <v>0.74904490511680344</v>
      </c>
      <c r="S24" s="4">
        <f t="shared" si="13"/>
        <v>0.75996093188934533</v>
      </c>
      <c r="T24" s="4">
        <f t="shared" si="13"/>
        <v>0.77563150074294207</v>
      </c>
      <c r="U24" s="15"/>
      <c r="V24" s="15"/>
      <c r="W24" s="4">
        <f t="shared" si="13"/>
        <v>0.8255146061876002</v>
      </c>
      <c r="X24" s="4">
        <f t="shared" si="13"/>
        <v>0.80988444362598411</v>
      </c>
      <c r="Y24" s="4">
        <f t="shared" si="13"/>
        <v>0.81452535676504245</v>
      </c>
      <c r="Z24" s="4">
        <f t="shared" si="13"/>
        <v>0.81195625660622817</v>
      </c>
      <c r="AA24" s="4">
        <f t="shared" si="13"/>
        <v>0.81958020471261495</v>
      </c>
      <c r="AB24" s="15"/>
      <c r="AC24" s="15"/>
      <c r="AD24" s="4">
        <f t="shared" si="13"/>
        <v>0.83625113739763424</v>
      </c>
      <c r="AE24" s="4">
        <f t="shared" si="13"/>
        <v>0.88768222456637902</v>
      </c>
      <c r="AF24" s="4">
        <f t="shared" si="13"/>
        <v>0.92862084870848705</v>
      </c>
      <c r="AG24" s="32"/>
    </row>
    <row r="25" spans="1:33" ht="15.75" thickBot="1" x14ac:dyDescent="0.3">
      <c r="A25" s="20"/>
      <c r="B25" s="54"/>
      <c r="C25" s="7"/>
      <c r="D25" s="7"/>
      <c r="E25" s="26"/>
      <c r="F25" s="26"/>
      <c r="G25" s="16"/>
      <c r="H25" s="16"/>
      <c r="I25" s="7"/>
      <c r="J25" s="72"/>
      <c r="K25" s="73"/>
      <c r="L25" s="7"/>
      <c r="M25" s="7"/>
      <c r="N25" s="16"/>
      <c r="O25" s="16"/>
      <c r="P25" s="7"/>
      <c r="Q25" s="72"/>
      <c r="R25" s="73"/>
      <c r="S25" s="7"/>
      <c r="T25" s="7"/>
      <c r="U25" s="16"/>
      <c r="V25" s="16"/>
      <c r="W25" s="7"/>
      <c r="X25" s="72"/>
      <c r="Y25" s="73"/>
      <c r="Z25" s="7"/>
      <c r="AA25" s="82"/>
      <c r="AB25" s="87"/>
      <c r="AC25" s="16"/>
      <c r="AD25" s="7"/>
      <c r="AE25" s="72"/>
      <c r="AF25" s="73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3" x14ac:dyDescent="0.25">
      <c r="A29" s="19" t="s">
        <v>8</v>
      </c>
      <c r="B29" s="59"/>
      <c r="C29" s="56">
        <v>848</v>
      </c>
      <c r="D29" s="56">
        <v>1545</v>
      </c>
      <c r="E29" s="56">
        <v>1545</v>
      </c>
      <c r="F29" s="56">
        <v>1999</v>
      </c>
      <c r="G29" s="60"/>
      <c r="H29" s="60"/>
      <c r="I29" s="56">
        <v>3441</v>
      </c>
      <c r="J29" s="68">
        <v>3622</v>
      </c>
      <c r="K29" s="69">
        <v>3642</v>
      </c>
      <c r="L29" s="56">
        <v>5790</v>
      </c>
      <c r="M29" s="56">
        <v>6659</v>
      </c>
      <c r="N29" s="60"/>
      <c r="O29" s="60"/>
      <c r="P29" s="56">
        <v>7401</v>
      </c>
      <c r="Q29" s="68">
        <v>8607</v>
      </c>
      <c r="R29" s="69">
        <v>11246</v>
      </c>
      <c r="S29" s="56">
        <v>12002</v>
      </c>
      <c r="T29" s="56">
        <v>12901</v>
      </c>
      <c r="U29" s="60"/>
      <c r="V29" s="60"/>
      <c r="W29" s="56">
        <v>14001</v>
      </c>
      <c r="X29" s="68">
        <v>15273</v>
      </c>
      <c r="Y29" s="69">
        <v>17557</v>
      </c>
      <c r="Z29" s="56">
        <v>18239</v>
      </c>
      <c r="AA29" s="80">
        <v>19240</v>
      </c>
      <c r="AB29" s="86"/>
      <c r="AC29" s="60"/>
      <c r="AD29" s="56">
        <v>19676</v>
      </c>
      <c r="AE29" s="68">
        <v>19917</v>
      </c>
      <c r="AF29" s="69">
        <v>23002</v>
      </c>
      <c r="AG29" s="32"/>
    </row>
    <row r="30" spans="1:33" x14ac:dyDescent="0.25">
      <c r="A30" s="19" t="s">
        <v>1</v>
      </c>
      <c r="B30" s="62"/>
      <c r="C30" s="52">
        <v>1770</v>
      </c>
      <c r="D30" s="52">
        <f>C30+1770</f>
        <v>3540</v>
      </c>
      <c r="E30" s="52">
        <f t="shared" ref="E30:F30" si="14">D30+1770</f>
        <v>5310</v>
      </c>
      <c r="F30" s="52">
        <f t="shared" si="14"/>
        <v>7080</v>
      </c>
      <c r="G30" s="63"/>
      <c r="H30" s="63"/>
      <c r="I30" s="52">
        <f>F30+1770</f>
        <v>8850</v>
      </c>
      <c r="J30" s="70">
        <f>I30+1770</f>
        <v>10620</v>
      </c>
      <c r="K30" s="70">
        <f t="shared" ref="K30:M30" si="15">J30+1770</f>
        <v>12390</v>
      </c>
      <c r="L30" s="70">
        <f t="shared" si="15"/>
        <v>14160</v>
      </c>
      <c r="M30" s="70">
        <f t="shared" si="15"/>
        <v>15930</v>
      </c>
      <c r="N30" s="85"/>
      <c r="O30" s="63"/>
      <c r="P30" s="52">
        <f>M30+1770</f>
        <v>17700</v>
      </c>
      <c r="Q30" s="70">
        <f>P30+1770</f>
        <v>19470</v>
      </c>
      <c r="R30" s="70">
        <f t="shared" ref="R30:T30" si="16">Q30+1770</f>
        <v>21240</v>
      </c>
      <c r="S30" s="70">
        <f t="shared" si="16"/>
        <v>23010</v>
      </c>
      <c r="T30" s="70">
        <f t="shared" si="16"/>
        <v>24780</v>
      </c>
      <c r="U30" s="85"/>
      <c r="V30" s="63"/>
      <c r="W30" s="52">
        <f>T30+1770</f>
        <v>26550</v>
      </c>
      <c r="X30" s="70">
        <f>W30+1770</f>
        <v>28320</v>
      </c>
      <c r="Y30" s="70">
        <f t="shared" ref="Y30:AA30" si="17">X30+1770</f>
        <v>30090</v>
      </c>
      <c r="Z30" s="70">
        <f t="shared" si="17"/>
        <v>31860</v>
      </c>
      <c r="AA30" s="70">
        <f t="shared" si="17"/>
        <v>33630</v>
      </c>
      <c r="AB30" s="85"/>
      <c r="AC30" s="63"/>
      <c r="AD30" s="52">
        <f>AA30+1770</f>
        <v>35400</v>
      </c>
      <c r="AE30" s="83">
        <f>AD30+1770</f>
        <v>37170</v>
      </c>
      <c r="AF30" s="83">
        <f>AE30+1770</f>
        <v>38940</v>
      </c>
      <c r="AG30" s="32"/>
    </row>
    <row r="31" spans="1:33" x14ac:dyDescent="0.25">
      <c r="A31" s="19" t="s">
        <v>2</v>
      </c>
      <c r="B31" s="53"/>
      <c r="C31" s="4">
        <f>C29/C30</f>
        <v>0.47909604519774013</v>
      </c>
      <c r="D31" s="4">
        <f t="shared" ref="D31:AF31" si="18">D29/D30</f>
        <v>0.4364406779661017</v>
      </c>
      <c r="E31" s="4">
        <f t="shared" si="18"/>
        <v>0.29096045197740111</v>
      </c>
      <c r="F31" s="4">
        <f t="shared" si="18"/>
        <v>0.28234463276836158</v>
      </c>
      <c r="G31" s="15"/>
      <c r="H31" s="15"/>
      <c r="I31" s="4">
        <f t="shared" si="18"/>
        <v>0.38881355932203387</v>
      </c>
      <c r="J31" s="4">
        <f t="shared" si="18"/>
        <v>0.34105461393596986</v>
      </c>
      <c r="K31" s="4">
        <f t="shared" si="18"/>
        <v>0.29394673123486681</v>
      </c>
      <c r="L31" s="4">
        <f t="shared" si="18"/>
        <v>0.40889830508474578</v>
      </c>
      <c r="M31" s="4">
        <f t="shared" si="18"/>
        <v>0.41801632140615191</v>
      </c>
      <c r="N31" s="15"/>
      <c r="O31" s="15"/>
      <c r="P31" s="4">
        <f t="shared" si="18"/>
        <v>0.418135593220339</v>
      </c>
      <c r="Q31" s="4">
        <f t="shared" si="18"/>
        <v>0.44206471494607086</v>
      </c>
      <c r="R31" s="4">
        <f t="shared" si="18"/>
        <v>0.52947269303201505</v>
      </c>
      <c r="S31" s="4">
        <f t="shared" si="18"/>
        <v>0.52159930465015214</v>
      </c>
      <c r="T31" s="4">
        <f t="shared" si="18"/>
        <v>0.5206214689265537</v>
      </c>
      <c r="U31" s="15"/>
      <c r="V31" s="15"/>
      <c r="W31" s="4">
        <f t="shared" si="18"/>
        <v>0.52734463276836163</v>
      </c>
      <c r="X31" s="4">
        <f t="shared" si="18"/>
        <v>0.53930084745762707</v>
      </c>
      <c r="Y31" s="4">
        <f t="shared" si="18"/>
        <v>0.58348288467929543</v>
      </c>
      <c r="Z31" s="4">
        <f t="shared" si="18"/>
        <v>0.57247332077840551</v>
      </c>
      <c r="AA31" s="4">
        <f t="shared" si="18"/>
        <v>0.57210823669342847</v>
      </c>
      <c r="AB31" s="15"/>
      <c r="AC31" s="15"/>
      <c r="AD31" s="4">
        <f t="shared" si="18"/>
        <v>0.55581920903954807</v>
      </c>
      <c r="AE31" s="4">
        <f t="shared" si="18"/>
        <v>0.53583535108958835</v>
      </c>
      <c r="AF31" s="4">
        <f t="shared" si="18"/>
        <v>0.59070364663585007</v>
      </c>
      <c r="AG31" s="32"/>
    </row>
    <row r="32" spans="1:33" ht="15.75" thickBot="1" x14ac:dyDescent="0.3">
      <c r="A32" s="20"/>
      <c r="B32" s="54"/>
      <c r="C32" s="7"/>
      <c r="D32" s="7"/>
      <c r="E32" s="26"/>
      <c r="F32" s="26"/>
      <c r="G32" s="16"/>
      <c r="H32" s="16"/>
      <c r="I32" s="7"/>
      <c r="J32" s="72"/>
      <c r="K32" s="73"/>
      <c r="L32" s="7"/>
      <c r="M32" s="7"/>
      <c r="N32" s="16"/>
      <c r="O32" s="16"/>
      <c r="P32" s="7"/>
      <c r="Q32" s="72"/>
      <c r="R32" s="73"/>
      <c r="S32" s="7"/>
      <c r="T32" s="7"/>
      <c r="U32" s="16"/>
      <c r="V32" s="16"/>
      <c r="W32" s="7"/>
      <c r="X32" s="72"/>
      <c r="Y32" s="73"/>
      <c r="Z32" s="7"/>
      <c r="AA32" s="82"/>
      <c r="AB32" s="87"/>
      <c r="AC32" s="16"/>
      <c r="AD32" s="7"/>
      <c r="AE32" s="72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59"/>
      <c r="C36" s="56">
        <v>935</v>
      </c>
      <c r="D36" s="56">
        <v>3468</v>
      </c>
      <c r="E36" s="56">
        <v>4980</v>
      </c>
      <c r="F36" s="56">
        <v>7146</v>
      </c>
      <c r="G36" s="60"/>
      <c r="H36" s="60"/>
      <c r="I36" s="56">
        <v>8519</v>
      </c>
      <c r="J36" s="68">
        <v>10062</v>
      </c>
      <c r="K36" s="69">
        <v>12675</v>
      </c>
      <c r="L36" s="56">
        <v>14852</v>
      </c>
      <c r="M36" s="56">
        <v>16621</v>
      </c>
      <c r="N36" s="60"/>
      <c r="O36" s="60"/>
      <c r="P36" s="56">
        <v>22812</v>
      </c>
      <c r="Q36" s="68">
        <v>24766</v>
      </c>
      <c r="R36" s="69">
        <v>28022</v>
      </c>
      <c r="S36" s="56">
        <v>29962</v>
      </c>
      <c r="T36" s="56">
        <v>32080</v>
      </c>
      <c r="U36" s="60"/>
      <c r="V36" s="60"/>
      <c r="W36" s="56">
        <v>36020</v>
      </c>
      <c r="X36" s="68">
        <v>39332</v>
      </c>
      <c r="Y36" s="69">
        <v>43313</v>
      </c>
      <c r="Z36" s="56">
        <v>46763</v>
      </c>
      <c r="AA36" s="80">
        <v>49230</v>
      </c>
      <c r="AB36" s="86"/>
      <c r="AC36" s="60"/>
      <c r="AD36" s="56">
        <v>50176</v>
      </c>
      <c r="AE36" s="68">
        <v>56565</v>
      </c>
      <c r="AF36" s="69">
        <v>60653</v>
      </c>
      <c r="AG36" s="32"/>
    </row>
    <row r="37" spans="1:33" x14ac:dyDescent="0.25">
      <c r="A37" s="19" t="s">
        <v>1</v>
      </c>
      <c r="B37" s="62"/>
      <c r="C37" s="52">
        <v>3262</v>
      </c>
      <c r="D37" s="52">
        <f>C37+3262</f>
        <v>6524</v>
      </c>
      <c r="E37" s="52">
        <f t="shared" ref="E37:F37" si="19">D37+3262</f>
        <v>9786</v>
      </c>
      <c r="F37" s="52">
        <f t="shared" si="19"/>
        <v>13048</v>
      </c>
      <c r="G37" s="63"/>
      <c r="H37" s="63"/>
      <c r="I37" s="52">
        <f>F37+3262</f>
        <v>16310</v>
      </c>
      <c r="J37" s="70">
        <f>I37+3262</f>
        <v>19572</v>
      </c>
      <c r="K37" s="70">
        <f t="shared" ref="K37:M37" si="20">J37+3262</f>
        <v>22834</v>
      </c>
      <c r="L37" s="70">
        <f t="shared" si="20"/>
        <v>26096</v>
      </c>
      <c r="M37" s="70">
        <f t="shared" si="20"/>
        <v>29358</v>
      </c>
      <c r="N37" s="85"/>
      <c r="O37" s="63"/>
      <c r="P37" s="52">
        <f>M37+3262</f>
        <v>32620</v>
      </c>
      <c r="Q37" s="70">
        <f>P37+3262</f>
        <v>35882</v>
      </c>
      <c r="R37" s="70">
        <f t="shared" ref="R37:T37" si="21">Q37+3262</f>
        <v>39144</v>
      </c>
      <c r="S37" s="70">
        <f t="shared" si="21"/>
        <v>42406</v>
      </c>
      <c r="T37" s="70">
        <f t="shared" si="21"/>
        <v>45668</v>
      </c>
      <c r="U37" s="85"/>
      <c r="V37" s="63"/>
      <c r="W37" s="52">
        <f>T37+3262</f>
        <v>48930</v>
      </c>
      <c r="X37" s="70">
        <f>W37+3262</f>
        <v>52192</v>
      </c>
      <c r="Y37" s="70">
        <f t="shared" ref="Y37:AA37" si="22">X37+3262</f>
        <v>55454</v>
      </c>
      <c r="Z37" s="70">
        <f t="shared" si="22"/>
        <v>58716</v>
      </c>
      <c r="AA37" s="70">
        <f t="shared" si="22"/>
        <v>61978</v>
      </c>
      <c r="AB37" s="85"/>
      <c r="AC37" s="63"/>
      <c r="AD37" s="52">
        <f>AA37+3262</f>
        <v>65240</v>
      </c>
      <c r="AE37" s="83">
        <f>AD37+3262</f>
        <v>68502</v>
      </c>
      <c r="AF37" s="83">
        <f>AE37+3262</f>
        <v>71764</v>
      </c>
      <c r="AG37" s="32"/>
    </row>
    <row r="38" spans="1:33" x14ac:dyDescent="0.25">
      <c r="A38" s="19" t="s">
        <v>2</v>
      </c>
      <c r="B38" s="53"/>
      <c r="C38" s="4">
        <f>C36/C37</f>
        <v>0.28663396689147763</v>
      </c>
      <c r="D38" s="4">
        <f t="shared" ref="D38:AF38" si="23">D36/D37</f>
        <v>0.53157572041692214</v>
      </c>
      <c r="E38" s="4">
        <f t="shared" si="23"/>
        <v>0.50889025137952182</v>
      </c>
      <c r="F38" s="4">
        <f t="shared" si="23"/>
        <v>0.54767014101778055</v>
      </c>
      <c r="G38" s="15"/>
      <c r="H38" s="15"/>
      <c r="I38" s="4">
        <f t="shared" si="23"/>
        <v>0.52231759656652366</v>
      </c>
      <c r="J38" s="4">
        <f t="shared" si="23"/>
        <v>0.5141017780502759</v>
      </c>
      <c r="K38" s="4">
        <f t="shared" si="23"/>
        <v>0.55509328194797236</v>
      </c>
      <c r="L38" s="4">
        <f t="shared" si="23"/>
        <v>0.5691293684855917</v>
      </c>
      <c r="M38" s="4">
        <f t="shared" si="23"/>
        <v>0.56614892022617347</v>
      </c>
      <c r="N38" s="15"/>
      <c r="O38" s="15"/>
      <c r="P38" s="4">
        <f t="shared" si="23"/>
        <v>0.69932556713672589</v>
      </c>
      <c r="Q38" s="4">
        <f t="shared" si="23"/>
        <v>0.69020678891923526</v>
      </c>
      <c r="R38" s="4">
        <f t="shared" si="23"/>
        <v>0.71586960964643365</v>
      </c>
      <c r="S38" s="4">
        <f t="shared" si="23"/>
        <v>0.70655095976984394</v>
      </c>
      <c r="T38" s="4">
        <f t="shared" si="23"/>
        <v>0.70246124200753257</v>
      </c>
      <c r="U38" s="15"/>
      <c r="V38" s="15"/>
      <c r="W38" s="4">
        <f t="shared" si="23"/>
        <v>0.73615368894338851</v>
      </c>
      <c r="X38" s="4">
        <f t="shared" si="23"/>
        <v>0.75360208461066835</v>
      </c>
      <c r="Y38" s="4">
        <f t="shared" si="23"/>
        <v>0.78106178093555023</v>
      </c>
      <c r="Z38" s="4">
        <f t="shared" si="23"/>
        <v>0.79642686831528031</v>
      </c>
      <c r="AA38" s="4">
        <f t="shared" si="23"/>
        <v>0.79431411145890474</v>
      </c>
      <c r="AB38" s="15"/>
      <c r="AC38" s="15"/>
      <c r="AD38" s="4">
        <f t="shared" si="23"/>
        <v>0.76909871244635197</v>
      </c>
      <c r="AE38" s="4">
        <f t="shared" si="23"/>
        <v>0.82574231409301924</v>
      </c>
      <c r="AF38" s="4">
        <f t="shared" si="23"/>
        <v>0.84517306727607155</v>
      </c>
      <c r="AG38" s="32"/>
    </row>
    <row r="39" spans="1:33" ht="15.75" thickBot="1" x14ac:dyDescent="0.3">
      <c r="A39" s="20"/>
      <c r="B39" s="54"/>
      <c r="C39" s="7"/>
      <c r="D39" s="7"/>
      <c r="E39" s="26"/>
      <c r="F39" s="26"/>
      <c r="G39" s="16"/>
      <c r="H39" s="16"/>
      <c r="I39" s="7"/>
      <c r="J39" s="72"/>
      <c r="K39" s="73"/>
      <c r="L39" s="7"/>
      <c r="M39" s="7"/>
      <c r="N39" s="16"/>
      <c r="O39" s="16"/>
      <c r="P39" s="7"/>
      <c r="Q39" s="72"/>
      <c r="R39" s="73"/>
      <c r="S39" s="7"/>
      <c r="T39" s="7"/>
      <c r="U39" s="16"/>
      <c r="V39" s="16"/>
      <c r="W39" s="7"/>
      <c r="X39" s="72"/>
      <c r="Y39" s="73"/>
      <c r="Z39" s="7"/>
      <c r="AA39" s="82"/>
      <c r="AB39" s="87"/>
      <c r="AC39" s="16"/>
      <c r="AD39" s="7"/>
      <c r="AE39" s="72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59"/>
      <c r="C43" s="56">
        <v>19</v>
      </c>
      <c r="D43" s="56">
        <v>211</v>
      </c>
      <c r="E43" s="56">
        <v>300</v>
      </c>
      <c r="F43" s="56">
        <v>348</v>
      </c>
      <c r="G43" s="60"/>
      <c r="H43" s="60"/>
      <c r="I43" s="56">
        <v>763</v>
      </c>
      <c r="J43" s="68">
        <v>895</v>
      </c>
      <c r="K43" s="69">
        <v>1001</v>
      </c>
      <c r="L43" s="56">
        <v>1814</v>
      </c>
      <c r="M43" s="56">
        <v>2455</v>
      </c>
      <c r="N43" s="60"/>
      <c r="O43" s="60"/>
      <c r="P43" s="56">
        <v>2865</v>
      </c>
      <c r="Q43" s="68">
        <v>3279</v>
      </c>
      <c r="R43" s="69">
        <v>4752</v>
      </c>
      <c r="S43" s="56">
        <v>5348</v>
      </c>
      <c r="T43" s="56">
        <v>6143</v>
      </c>
      <c r="U43" s="60"/>
      <c r="V43" s="60"/>
      <c r="W43" s="56">
        <v>7537</v>
      </c>
      <c r="X43" s="68">
        <v>8012</v>
      </c>
      <c r="Y43" s="69">
        <v>8689</v>
      </c>
      <c r="Z43" s="56">
        <v>10185</v>
      </c>
      <c r="AA43" s="80">
        <v>10992</v>
      </c>
      <c r="AB43" s="86"/>
      <c r="AC43" s="60"/>
      <c r="AD43" s="56">
        <v>11980</v>
      </c>
      <c r="AE43" s="68">
        <v>13204</v>
      </c>
      <c r="AF43" s="69">
        <v>13444</v>
      </c>
      <c r="AG43" s="32"/>
    </row>
    <row r="44" spans="1:33" x14ac:dyDescent="0.25">
      <c r="A44" s="19" t="s">
        <v>1</v>
      </c>
      <c r="B44" s="62"/>
      <c r="C44" s="52">
        <v>731</v>
      </c>
      <c r="D44" s="52">
        <f>C44+731</f>
        <v>1462</v>
      </c>
      <c r="E44" s="52">
        <f t="shared" ref="E44:F44" si="24">D44+731</f>
        <v>2193</v>
      </c>
      <c r="F44" s="52">
        <f t="shared" si="24"/>
        <v>2924</v>
      </c>
      <c r="G44" s="63"/>
      <c r="H44" s="63"/>
      <c r="I44" s="52">
        <f>F44+731</f>
        <v>3655</v>
      </c>
      <c r="J44" s="70">
        <f>I44+731</f>
        <v>4386</v>
      </c>
      <c r="K44" s="70">
        <f t="shared" ref="K44:M44" si="25">J44+731</f>
        <v>5117</v>
      </c>
      <c r="L44" s="70">
        <f t="shared" si="25"/>
        <v>5848</v>
      </c>
      <c r="M44" s="70">
        <f t="shared" si="25"/>
        <v>6579</v>
      </c>
      <c r="N44" s="85"/>
      <c r="O44" s="63"/>
      <c r="P44" s="52">
        <f>M44+731</f>
        <v>7310</v>
      </c>
      <c r="Q44" s="70">
        <f>P44+731</f>
        <v>8041</v>
      </c>
      <c r="R44" s="70">
        <f t="shared" ref="R44:T44" si="26">Q44+731</f>
        <v>8772</v>
      </c>
      <c r="S44" s="70">
        <f t="shared" si="26"/>
        <v>9503</v>
      </c>
      <c r="T44" s="70">
        <f t="shared" si="26"/>
        <v>10234</v>
      </c>
      <c r="U44" s="85"/>
      <c r="V44" s="63"/>
      <c r="W44" s="52">
        <f>T44+731</f>
        <v>10965</v>
      </c>
      <c r="X44" s="70">
        <f>W44+731</f>
        <v>11696</v>
      </c>
      <c r="Y44" s="70">
        <f t="shared" ref="Y44:AA44" si="27">X44+731</f>
        <v>12427</v>
      </c>
      <c r="Z44" s="70">
        <f t="shared" si="27"/>
        <v>13158</v>
      </c>
      <c r="AA44" s="70">
        <f t="shared" si="27"/>
        <v>13889</v>
      </c>
      <c r="AB44" s="85"/>
      <c r="AC44" s="63"/>
      <c r="AD44" s="100">
        <f>AA44+731</f>
        <v>14620</v>
      </c>
      <c r="AE44" s="83">
        <f>AD44+731</f>
        <v>15351</v>
      </c>
      <c r="AF44" s="83">
        <f>AE44+731</f>
        <v>16082</v>
      </c>
      <c r="AG44" s="32"/>
    </row>
    <row r="45" spans="1:33" x14ac:dyDescent="0.25">
      <c r="A45" s="19" t="s">
        <v>2</v>
      </c>
      <c r="B45" s="53"/>
      <c r="C45" s="4">
        <f>C43/C44</f>
        <v>2.5991792065663474E-2</v>
      </c>
      <c r="D45" s="4">
        <f t="shared" ref="D45:AF45" si="28">D43/D44</f>
        <v>0.14432284541723667</v>
      </c>
      <c r="E45" s="4">
        <f t="shared" si="28"/>
        <v>0.13679890560875513</v>
      </c>
      <c r="F45" s="4">
        <f t="shared" si="28"/>
        <v>0.11901504787961696</v>
      </c>
      <c r="G45" s="15"/>
      <c r="H45" s="15"/>
      <c r="I45" s="4">
        <f t="shared" si="28"/>
        <v>0.20875512995896034</v>
      </c>
      <c r="J45" s="4">
        <f t="shared" si="28"/>
        <v>0.20405836753305973</v>
      </c>
      <c r="K45" s="4">
        <f t="shared" si="28"/>
        <v>0.19562243502051985</v>
      </c>
      <c r="L45" s="4">
        <f t="shared" si="28"/>
        <v>0.31019151846785226</v>
      </c>
      <c r="M45" s="4">
        <f t="shared" si="28"/>
        <v>0.37315701474388208</v>
      </c>
      <c r="N45" s="15"/>
      <c r="O45" s="15"/>
      <c r="P45" s="4">
        <f t="shared" si="28"/>
        <v>0.39192886456908343</v>
      </c>
      <c r="Q45" s="4">
        <f t="shared" si="28"/>
        <v>0.40778510135555279</v>
      </c>
      <c r="R45" s="4">
        <f t="shared" si="28"/>
        <v>0.54172366621067036</v>
      </c>
      <c r="S45" s="4">
        <f t="shared" si="28"/>
        <v>0.56276965168894033</v>
      </c>
      <c r="T45" s="4">
        <f t="shared" si="28"/>
        <v>0.6002540551104163</v>
      </c>
      <c r="U45" s="15"/>
      <c r="V45" s="15"/>
      <c r="W45" s="4">
        <f t="shared" si="28"/>
        <v>0.68736890104879156</v>
      </c>
      <c r="X45" s="4">
        <f t="shared" si="28"/>
        <v>0.68502051983584133</v>
      </c>
      <c r="Y45" s="4">
        <f t="shared" si="28"/>
        <v>0.69920334754969016</v>
      </c>
      <c r="Z45" s="4">
        <f t="shared" si="28"/>
        <v>0.77405380756953945</v>
      </c>
      <c r="AA45" s="4">
        <f t="shared" si="28"/>
        <v>0.79141766865865071</v>
      </c>
      <c r="AB45" s="15"/>
      <c r="AC45" s="15"/>
      <c r="AD45" s="4">
        <f t="shared" si="28"/>
        <v>0.81942544459644318</v>
      </c>
      <c r="AE45" s="4">
        <f t="shared" si="28"/>
        <v>0.86013940459904892</v>
      </c>
      <c r="AF45" s="4">
        <f t="shared" si="28"/>
        <v>0.83596567591095639</v>
      </c>
      <c r="AG45" s="32"/>
    </row>
    <row r="46" spans="1:33" ht="15.75" thickBot="1" x14ac:dyDescent="0.3">
      <c r="A46" s="20"/>
      <c r="B46" s="54"/>
      <c r="C46" s="7"/>
      <c r="D46" s="7"/>
      <c r="E46" s="26"/>
      <c r="F46" s="26"/>
      <c r="G46" s="16"/>
      <c r="H46" s="16"/>
      <c r="I46" s="7"/>
      <c r="J46" s="72"/>
      <c r="K46" s="73"/>
      <c r="L46" s="7"/>
      <c r="M46" s="7"/>
      <c r="N46" s="16"/>
      <c r="O46" s="16"/>
      <c r="P46" s="7"/>
      <c r="Q46" s="72"/>
      <c r="R46" s="73"/>
      <c r="S46" s="7"/>
      <c r="T46" s="7"/>
      <c r="U46" s="16"/>
      <c r="V46" s="16"/>
      <c r="W46" s="7"/>
      <c r="X46" s="72"/>
      <c r="Y46" s="73"/>
      <c r="Z46" s="7"/>
      <c r="AA46" s="82"/>
      <c r="AB46" s="87"/>
      <c r="AC46" s="16"/>
      <c r="AD46" s="7"/>
      <c r="AE46" s="72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59"/>
      <c r="C49" s="56">
        <v>174</v>
      </c>
      <c r="D49" s="56">
        <v>586</v>
      </c>
      <c r="E49" s="56">
        <v>747</v>
      </c>
      <c r="F49" s="56">
        <v>1347</v>
      </c>
      <c r="G49" s="60"/>
      <c r="H49" s="60"/>
      <c r="I49" s="56">
        <v>1443</v>
      </c>
      <c r="J49" s="68">
        <v>2281</v>
      </c>
      <c r="K49" s="69">
        <v>2705</v>
      </c>
      <c r="L49" s="56">
        <v>3218</v>
      </c>
      <c r="M49" s="56">
        <v>3320</v>
      </c>
      <c r="N49" s="60"/>
      <c r="O49" s="60"/>
      <c r="P49" s="56">
        <v>3625</v>
      </c>
      <c r="Q49" s="68">
        <v>4019</v>
      </c>
      <c r="R49" s="69">
        <v>4691</v>
      </c>
      <c r="S49" s="56">
        <v>5067</v>
      </c>
      <c r="T49" s="56">
        <v>5213</v>
      </c>
      <c r="U49" s="60"/>
      <c r="V49" s="60"/>
      <c r="W49" s="56">
        <v>5756</v>
      </c>
      <c r="X49" s="68">
        <v>6066</v>
      </c>
      <c r="Y49" s="69">
        <v>6652</v>
      </c>
      <c r="Z49" s="56">
        <v>6882</v>
      </c>
      <c r="AA49" s="80">
        <v>7114</v>
      </c>
      <c r="AB49" s="86"/>
      <c r="AC49" s="60"/>
      <c r="AD49" s="56">
        <v>8975</v>
      </c>
      <c r="AE49" s="68">
        <v>10003</v>
      </c>
      <c r="AF49" s="69">
        <v>12649</v>
      </c>
      <c r="AG49" s="32"/>
    </row>
    <row r="50" spans="1:33" x14ac:dyDescent="0.25">
      <c r="A50" s="19" t="s">
        <v>1</v>
      </c>
      <c r="B50" s="62"/>
      <c r="C50" s="52">
        <v>515</v>
      </c>
      <c r="D50" s="52">
        <f>C50+515</f>
        <v>1030</v>
      </c>
      <c r="E50" s="52">
        <f t="shared" ref="E50:F50" si="29">D50+515</f>
        <v>1545</v>
      </c>
      <c r="F50" s="52">
        <f t="shared" si="29"/>
        <v>2060</v>
      </c>
      <c r="G50" s="63"/>
      <c r="H50" s="63"/>
      <c r="I50" s="52">
        <f>F50+515</f>
        <v>2575</v>
      </c>
      <c r="J50" s="70">
        <f>I50+515</f>
        <v>3090</v>
      </c>
      <c r="K50" s="70">
        <f t="shared" ref="K50:M50" si="30">J50+515</f>
        <v>3605</v>
      </c>
      <c r="L50" s="70">
        <f t="shared" si="30"/>
        <v>4120</v>
      </c>
      <c r="M50" s="70">
        <f t="shared" si="30"/>
        <v>4635</v>
      </c>
      <c r="N50" s="85"/>
      <c r="O50" s="63"/>
      <c r="P50" s="52">
        <f>M50+515</f>
        <v>5150</v>
      </c>
      <c r="Q50" s="70">
        <f>P50+515</f>
        <v>5665</v>
      </c>
      <c r="R50" s="70">
        <f t="shared" ref="R50:T50" si="31">Q50+515</f>
        <v>6180</v>
      </c>
      <c r="S50" s="70">
        <f t="shared" si="31"/>
        <v>6695</v>
      </c>
      <c r="T50" s="70">
        <f t="shared" si="31"/>
        <v>7210</v>
      </c>
      <c r="U50" s="85"/>
      <c r="V50" s="63"/>
      <c r="W50" s="52">
        <f>T50+515</f>
        <v>7725</v>
      </c>
      <c r="X50" s="70">
        <f>W50+515</f>
        <v>8240</v>
      </c>
      <c r="Y50" s="70">
        <f t="shared" ref="Y50:AA50" si="32">X50+515</f>
        <v>8755</v>
      </c>
      <c r="Z50" s="70">
        <f>Y50+515</f>
        <v>9270</v>
      </c>
      <c r="AA50" s="70">
        <f t="shared" si="32"/>
        <v>9785</v>
      </c>
      <c r="AB50" s="85"/>
      <c r="AC50" s="63"/>
      <c r="AD50" s="52">
        <f>AA50+515</f>
        <v>10300</v>
      </c>
      <c r="AE50" s="83">
        <f>AD50+515</f>
        <v>10815</v>
      </c>
      <c r="AF50" s="83">
        <f>AE50+515</f>
        <v>11330</v>
      </c>
      <c r="AG50" s="32"/>
    </row>
    <row r="51" spans="1:33" x14ac:dyDescent="0.25">
      <c r="A51" s="19" t="s">
        <v>2</v>
      </c>
      <c r="B51" s="53"/>
      <c r="C51" s="4">
        <f>C49/C50</f>
        <v>0.3378640776699029</v>
      </c>
      <c r="D51" s="4">
        <f t="shared" ref="D51:AF51" si="33">D49/D50</f>
        <v>0.56893203883495147</v>
      </c>
      <c r="E51" s="4">
        <f t="shared" si="33"/>
        <v>0.48349514563106794</v>
      </c>
      <c r="F51" s="4">
        <f t="shared" si="33"/>
        <v>0.65388349514563104</v>
      </c>
      <c r="G51" s="15"/>
      <c r="H51" s="15"/>
      <c r="I51" s="4">
        <f t="shared" si="33"/>
        <v>0.56038834951456307</v>
      </c>
      <c r="J51" s="4">
        <f t="shared" si="33"/>
        <v>0.73818770226537211</v>
      </c>
      <c r="K51" s="4">
        <f t="shared" si="33"/>
        <v>0.75034674063800277</v>
      </c>
      <c r="L51" s="4">
        <f t="shared" si="33"/>
        <v>0.78106796116504851</v>
      </c>
      <c r="M51" s="4">
        <f t="shared" si="33"/>
        <v>0.71628910463861917</v>
      </c>
      <c r="N51" s="15"/>
      <c r="O51" s="15"/>
      <c r="P51" s="4">
        <f t="shared" si="33"/>
        <v>0.70388349514563109</v>
      </c>
      <c r="Q51" s="4">
        <f t="shared" si="33"/>
        <v>0.70944395410414829</v>
      </c>
      <c r="R51" s="4">
        <f t="shared" si="33"/>
        <v>0.75906148867313916</v>
      </c>
      <c r="S51" s="4">
        <f t="shared" si="33"/>
        <v>0.75683345780433164</v>
      </c>
      <c r="T51" s="4">
        <f t="shared" si="33"/>
        <v>0.72302357836338416</v>
      </c>
      <c r="U51" s="15"/>
      <c r="V51" s="15"/>
      <c r="W51" s="4">
        <f t="shared" si="33"/>
        <v>0.7451132686084142</v>
      </c>
      <c r="X51" s="4">
        <f t="shared" si="33"/>
        <v>0.73616504854368936</v>
      </c>
      <c r="Y51" s="4">
        <f t="shared" si="33"/>
        <v>0.75979440319817249</v>
      </c>
      <c r="Z51" s="4">
        <f t="shared" si="33"/>
        <v>0.74239482200647244</v>
      </c>
      <c r="AA51" s="4">
        <f t="shared" si="33"/>
        <v>0.72703117015840568</v>
      </c>
      <c r="AB51" s="15"/>
      <c r="AC51" s="15"/>
      <c r="AD51" s="4">
        <f t="shared" si="33"/>
        <v>0.87135922330097082</v>
      </c>
      <c r="AE51" s="4">
        <f t="shared" si="33"/>
        <v>0.92491909385113269</v>
      </c>
      <c r="AF51" s="4">
        <f t="shared" si="33"/>
        <v>1.1164165931156222</v>
      </c>
      <c r="AG51" s="32"/>
    </row>
    <row r="52" spans="1:33" ht="15.75" thickBot="1" x14ac:dyDescent="0.3">
      <c r="A52" s="20"/>
      <c r="B52" s="54"/>
      <c r="C52" s="7"/>
      <c r="D52" s="7"/>
      <c r="E52" s="26"/>
      <c r="F52" s="26"/>
      <c r="G52" s="16"/>
      <c r="H52" s="16"/>
      <c r="I52" s="7"/>
      <c r="J52" s="72"/>
      <c r="K52" s="73"/>
      <c r="L52" s="7"/>
      <c r="M52" s="7"/>
      <c r="N52" s="16"/>
      <c r="O52" s="16"/>
      <c r="P52" s="7"/>
      <c r="Q52" s="72"/>
      <c r="R52" s="73"/>
      <c r="S52" s="7"/>
      <c r="T52" s="7"/>
      <c r="U52" s="16"/>
      <c r="V52" s="16"/>
      <c r="W52" s="7"/>
      <c r="X52" s="72"/>
      <c r="Y52" s="73"/>
      <c r="Z52" s="7"/>
      <c r="AA52" s="82"/>
      <c r="AB52" s="87"/>
      <c r="AC52" s="16"/>
      <c r="AD52" s="7"/>
      <c r="AE52" s="72"/>
      <c r="AF52" s="73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6">
        <v>31</v>
      </c>
      <c r="AG55" s="32"/>
    </row>
    <row r="56" spans="1:33" x14ac:dyDescent="0.25">
      <c r="A56" s="19" t="s">
        <v>8</v>
      </c>
      <c r="B56" s="59"/>
      <c r="C56" s="56">
        <v>1032</v>
      </c>
      <c r="D56" s="56">
        <v>2323</v>
      </c>
      <c r="E56" s="56">
        <v>3263</v>
      </c>
      <c r="F56" s="56">
        <v>5957</v>
      </c>
      <c r="G56" s="60"/>
      <c r="H56" s="60"/>
      <c r="I56" s="56">
        <v>5957</v>
      </c>
      <c r="J56" s="68">
        <v>9513</v>
      </c>
      <c r="K56" s="69">
        <v>12243</v>
      </c>
      <c r="L56" s="56">
        <v>12762</v>
      </c>
      <c r="M56" s="56">
        <v>18327</v>
      </c>
      <c r="N56" s="60"/>
      <c r="O56" s="60"/>
      <c r="P56" s="56">
        <v>18655</v>
      </c>
      <c r="Q56" s="68">
        <v>20989</v>
      </c>
      <c r="R56" s="69">
        <v>23347</v>
      </c>
      <c r="S56" s="56">
        <v>29905</v>
      </c>
      <c r="T56" s="56">
        <v>31598</v>
      </c>
      <c r="U56" s="60"/>
      <c r="V56" s="60"/>
      <c r="W56" s="56">
        <v>32263</v>
      </c>
      <c r="X56" s="68">
        <v>33212</v>
      </c>
      <c r="Y56" s="69">
        <v>34517</v>
      </c>
      <c r="Z56" s="56">
        <v>38075</v>
      </c>
      <c r="AA56" s="80">
        <v>39633</v>
      </c>
      <c r="AB56" s="86"/>
      <c r="AC56" s="60"/>
      <c r="AD56" s="56">
        <v>41392</v>
      </c>
      <c r="AE56" s="68">
        <v>43013</v>
      </c>
      <c r="AF56" s="69">
        <v>44676</v>
      </c>
      <c r="AG56" s="32"/>
    </row>
    <row r="57" spans="1:33" x14ac:dyDescent="0.25">
      <c r="A57" s="19" t="s">
        <v>1</v>
      </c>
      <c r="B57" s="62"/>
      <c r="C57" s="52">
        <v>2004</v>
      </c>
      <c r="D57" s="52">
        <f>C57+2004</f>
        <v>4008</v>
      </c>
      <c r="E57" s="52">
        <f t="shared" ref="E57:F57" si="34">D57+2004</f>
        <v>6012</v>
      </c>
      <c r="F57" s="52">
        <f t="shared" si="34"/>
        <v>8016</v>
      </c>
      <c r="G57" s="63"/>
      <c r="H57" s="63"/>
      <c r="I57" s="52">
        <f>F57+2004</f>
        <v>10020</v>
      </c>
      <c r="J57" s="70">
        <f>I57+2004</f>
        <v>12024</v>
      </c>
      <c r="K57" s="70">
        <f t="shared" ref="K57:M57" si="35">J57+2004</f>
        <v>14028</v>
      </c>
      <c r="L57" s="70">
        <f t="shared" si="35"/>
        <v>16032</v>
      </c>
      <c r="M57" s="70">
        <f t="shared" si="35"/>
        <v>18036</v>
      </c>
      <c r="N57" s="85"/>
      <c r="O57" s="63"/>
      <c r="P57" s="52">
        <f>M57+2004</f>
        <v>20040</v>
      </c>
      <c r="Q57" s="70">
        <f>P57+2004</f>
        <v>22044</v>
      </c>
      <c r="R57" s="70">
        <f t="shared" ref="R57:T57" si="36">Q57+2004</f>
        <v>24048</v>
      </c>
      <c r="S57" s="70">
        <f t="shared" si="36"/>
        <v>26052</v>
      </c>
      <c r="T57" s="70">
        <f t="shared" si="36"/>
        <v>28056</v>
      </c>
      <c r="U57" s="85"/>
      <c r="V57" s="63"/>
      <c r="W57" s="52">
        <f>T57+2004</f>
        <v>30060</v>
      </c>
      <c r="X57" s="70">
        <f>W57+2004</f>
        <v>32064</v>
      </c>
      <c r="Y57" s="70">
        <f t="shared" ref="Y57:AA57" si="37">X57+2004</f>
        <v>34068</v>
      </c>
      <c r="Z57" s="70">
        <f t="shared" si="37"/>
        <v>36072</v>
      </c>
      <c r="AA57" s="70">
        <f t="shared" si="37"/>
        <v>38076</v>
      </c>
      <c r="AB57" s="85"/>
      <c r="AC57" s="63"/>
      <c r="AD57" s="52">
        <f>AA57+2004</f>
        <v>40080</v>
      </c>
      <c r="AE57" s="83">
        <f>AD57+2004</f>
        <v>42084</v>
      </c>
      <c r="AF57" s="83">
        <f>AE57+2004</f>
        <v>44088</v>
      </c>
      <c r="AG57" s="32"/>
    </row>
    <row r="58" spans="1:33" x14ac:dyDescent="0.25">
      <c r="A58" s="19" t="s">
        <v>2</v>
      </c>
      <c r="B58" s="53"/>
      <c r="C58" s="4">
        <f>C56/C57</f>
        <v>0.51497005988023947</v>
      </c>
      <c r="D58" s="4">
        <f t="shared" ref="D58:AF58" si="38">D56/D57</f>
        <v>0.57959081836327342</v>
      </c>
      <c r="E58" s="4">
        <f t="shared" si="38"/>
        <v>0.54274783765801726</v>
      </c>
      <c r="F58" s="4">
        <f t="shared" si="38"/>
        <v>0.74313872255489022</v>
      </c>
      <c r="G58" s="15"/>
      <c r="H58" s="15"/>
      <c r="I58" s="4">
        <f t="shared" si="38"/>
        <v>0.59451097804391217</v>
      </c>
      <c r="J58" s="4">
        <f t="shared" si="38"/>
        <v>0.79116766467065869</v>
      </c>
      <c r="K58" s="4">
        <f t="shared" si="38"/>
        <v>0.8727544910179641</v>
      </c>
      <c r="L58" s="4">
        <f t="shared" si="38"/>
        <v>0.79603293413173648</v>
      </c>
      <c r="M58" s="4">
        <f t="shared" si="38"/>
        <v>1.0161343978709247</v>
      </c>
      <c r="N58" s="15"/>
      <c r="O58" s="15"/>
      <c r="P58" s="4">
        <f t="shared" si="38"/>
        <v>0.93088822355289425</v>
      </c>
      <c r="Q58" s="4">
        <f t="shared" si="38"/>
        <v>0.95214117220105243</v>
      </c>
      <c r="R58" s="4">
        <f t="shared" si="38"/>
        <v>0.97084996673320023</v>
      </c>
      <c r="S58" s="4">
        <f t="shared" si="38"/>
        <v>1.1478965146629818</v>
      </c>
      <c r="T58" s="4">
        <f t="shared" si="38"/>
        <v>1.12624750499002</v>
      </c>
      <c r="U58" s="15"/>
      <c r="V58" s="15"/>
      <c r="W58" s="4">
        <f t="shared" si="38"/>
        <v>1.0732867598137059</v>
      </c>
      <c r="X58" s="4">
        <f t="shared" si="38"/>
        <v>1.0358033932135728</v>
      </c>
      <c r="Y58" s="4">
        <f t="shared" si="38"/>
        <v>1.0131795233063285</v>
      </c>
      <c r="Z58" s="4">
        <f t="shared" si="38"/>
        <v>1.055527833222444</v>
      </c>
      <c r="AA58" s="4">
        <f t="shared" si="38"/>
        <v>1.0408919004097068</v>
      </c>
      <c r="AB58" s="15"/>
      <c r="AC58" s="15"/>
      <c r="AD58" s="4">
        <f t="shared" si="38"/>
        <v>1.0327345309381237</v>
      </c>
      <c r="AE58" s="4">
        <f t="shared" si="38"/>
        <v>1.0220748978234009</v>
      </c>
      <c r="AF58" s="4">
        <f t="shared" si="38"/>
        <v>1.0133369624387589</v>
      </c>
      <c r="AG58" s="32"/>
    </row>
    <row r="59" spans="1:33" ht="15.75" thickBot="1" x14ac:dyDescent="0.3">
      <c r="A59" s="20"/>
      <c r="B59" s="54"/>
      <c r="C59" s="7"/>
      <c r="D59" s="7"/>
      <c r="E59" s="26"/>
      <c r="F59" s="26"/>
      <c r="G59" s="16"/>
      <c r="H59" s="16"/>
      <c r="I59" s="7"/>
      <c r="J59" s="72"/>
      <c r="K59" s="73"/>
      <c r="L59" s="7"/>
      <c r="M59" s="7"/>
      <c r="N59" s="16"/>
      <c r="O59" s="16"/>
      <c r="P59" s="7"/>
      <c r="Q59" s="72"/>
      <c r="R59" s="73"/>
      <c r="S59" s="7"/>
      <c r="T59" s="7"/>
      <c r="U59" s="16"/>
      <c r="V59" s="16"/>
      <c r="W59" s="7"/>
      <c r="X59" s="72"/>
      <c r="Y59" s="73"/>
      <c r="Z59" s="7"/>
      <c r="AA59" s="82"/>
      <c r="AB59" s="87"/>
      <c r="AC59" s="16"/>
      <c r="AD59" s="7"/>
      <c r="AE59" s="72"/>
      <c r="AF59" s="73"/>
      <c r="AG59" s="32"/>
    </row>
    <row r="60" spans="1:33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  <c r="AG60" s="32"/>
    </row>
    <row r="61" spans="1:33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  <c r="AF62" s="6">
        <v>31</v>
      </c>
    </row>
    <row r="63" spans="1:33" x14ac:dyDescent="0.25">
      <c r="A63" s="19" t="s">
        <v>8</v>
      </c>
      <c r="B63" s="59"/>
      <c r="C63" s="56">
        <v>255</v>
      </c>
      <c r="D63" s="56">
        <v>514</v>
      </c>
      <c r="E63" s="56">
        <v>1595</v>
      </c>
      <c r="F63" s="56">
        <v>2166</v>
      </c>
      <c r="G63" s="60"/>
      <c r="H63" s="60"/>
      <c r="I63" s="56">
        <v>2428</v>
      </c>
      <c r="J63" s="68">
        <v>3346</v>
      </c>
      <c r="K63" s="69">
        <v>3987</v>
      </c>
      <c r="L63" s="56">
        <v>4669</v>
      </c>
      <c r="M63" s="56">
        <v>5283</v>
      </c>
      <c r="N63" s="60"/>
      <c r="O63" s="60"/>
      <c r="P63" s="56">
        <v>5806</v>
      </c>
      <c r="Q63" s="68">
        <v>6452</v>
      </c>
      <c r="R63" s="69">
        <v>7265</v>
      </c>
      <c r="S63" s="56">
        <v>7995</v>
      </c>
      <c r="T63" s="56">
        <v>9257</v>
      </c>
      <c r="U63" s="60"/>
      <c r="V63" s="60"/>
      <c r="W63" s="56">
        <v>10335</v>
      </c>
      <c r="X63" s="68">
        <v>11167</v>
      </c>
      <c r="Y63" s="69">
        <v>11968</v>
      </c>
      <c r="Z63" s="56">
        <v>12325</v>
      </c>
      <c r="AA63" s="80">
        <v>12811</v>
      </c>
      <c r="AB63" s="86"/>
      <c r="AC63" s="60"/>
      <c r="AD63" s="56">
        <v>13315</v>
      </c>
      <c r="AE63" s="68">
        <v>13737</v>
      </c>
      <c r="AF63" s="69">
        <v>14565</v>
      </c>
    </row>
    <row r="64" spans="1:33" x14ac:dyDescent="0.25">
      <c r="A64" s="19" t="s">
        <v>1</v>
      </c>
      <c r="B64" s="62"/>
      <c r="C64" s="52">
        <v>913</v>
      </c>
      <c r="D64" s="52">
        <f>C64+913</f>
        <v>1826</v>
      </c>
      <c r="E64" s="52">
        <f t="shared" ref="E64:F64" si="39">D64+913</f>
        <v>2739</v>
      </c>
      <c r="F64" s="52">
        <f t="shared" si="39"/>
        <v>3652</v>
      </c>
      <c r="G64" s="63"/>
      <c r="H64" s="63"/>
      <c r="I64" s="52">
        <f>F64+913</f>
        <v>4565</v>
      </c>
      <c r="J64" s="70">
        <f>I64+913</f>
        <v>5478</v>
      </c>
      <c r="K64" s="70">
        <f t="shared" ref="K64:M64" si="40">J64+913</f>
        <v>6391</v>
      </c>
      <c r="L64" s="70">
        <f t="shared" si="40"/>
        <v>7304</v>
      </c>
      <c r="M64" s="70">
        <f t="shared" si="40"/>
        <v>8217</v>
      </c>
      <c r="N64" s="85"/>
      <c r="O64" s="63"/>
      <c r="P64" s="52">
        <f>M64+913</f>
        <v>9130</v>
      </c>
      <c r="Q64" s="70">
        <f>P64+913</f>
        <v>10043</v>
      </c>
      <c r="R64" s="70">
        <f t="shared" ref="R64:T64" si="41">Q64+913</f>
        <v>10956</v>
      </c>
      <c r="S64" s="70">
        <f t="shared" si="41"/>
        <v>11869</v>
      </c>
      <c r="T64" s="70">
        <f t="shared" si="41"/>
        <v>12782</v>
      </c>
      <c r="U64" s="85"/>
      <c r="V64" s="63"/>
      <c r="W64" s="52">
        <f>T64+913</f>
        <v>13695</v>
      </c>
      <c r="X64" s="70">
        <f>W64+913</f>
        <v>14608</v>
      </c>
      <c r="Y64" s="71">
        <f>X64+913</f>
        <v>15521</v>
      </c>
      <c r="Z64" s="71">
        <f t="shared" ref="Z64:AA64" si="42">Y64+913</f>
        <v>16434</v>
      </c>
      <c r="AA64" s="71">
        <f t="shared" si="42"/>
        <v>17347</v>
      </c>
      <c r="AB64" s="85"/>
      <c r="AC64" s="63"/>
      <c r="AD64" s="52">
        <f>AA64+91</f>
        <v>17438</v>
      </c>
      <c r="AE64" s="83">
        <f>AD64+913</f>
        <v>18351</v>
      </c>
      <c r="AF64" s="83">
        <f>AE64+913</f>
        <v>19264</v>
      </c>
    </row>
    <row r="65" spans="1:32" x14ac:dyDescent="0.25">
      <c r="A65" s="19" t="s">
        <v>2</v>
      </c>
      <c r="B65" s="53"/>
      <c r="C65" s="4">
        <f>C63/C64</f>
        <v>0.27929901423877329</v>
      </c>
      <c r="D65" s="4">
        <f t="shared" ref="D65:AF65" si="43">D63/D64</f>
        <v>0.28148959474260676</v>
      </c>
      <c r="E65" s="4">
        <f t="shared" si="43"/>
        <v>0.58232931726907633</v>
      </c>
      <c r="F65" s="4">
        <f t="shared" si="43"/>
        <v>0.59309967141292441</v>
      </c>
      <c r="G65" s="15"/>
      <c r="H65" s="15"/>
      <c r="I65" s="4">
        <f t="shared" si="43"/>
        <v>0.53187294633077764</v>
      </c>
      <c r="J65" s="4">
        <f t="shared" si="43"/>
        <v>0.61080686381891203</v>
      </c>
      <c r="K65" s="4">
        <f t="shared" si="43"/>
        <v>0.62384603348458767</v>
      </c>
      <c r="L65" s="4">
        <f t="shared" si="43"/>
        <v>0.63923877327491785</v>
      </c>
      <c r="M65" s="4">
        <f t="shared" si="43"/>
        <v>0.64293537787513688</v>
      </c>
      <c r="N65" s="15"/>
      <c r="O65" s="15"/>
      <c r="P65" s="4">
        <f t="shared" si="43"/>
        <v>0.63592552026286964</v>
      </c>
      <c r="Q65" s="4">
        <f t="shared" si="43"/>
        <v>0.64243751866972021</v>
      </c>
      <c r="R65" s="4">
        <f t="shared" si="43"/>
        <v>0.66310697334793722</v>
      </c>
      <c r="S65" s="4">
        <f t="shared" si="43"/>
        <v>0.67360350492880616</v>
      </c>
      <c r="T65" s="4">
        <f t="shared" si="43"/>
        <v>0.72422156157095918</v>
      </c>
      <c r="U65" s="15"/>
      <c r="V65" s="15"/>
      <c r="W65" s="4">
        <f t="shared" si="43"/>
        <v>0.7546549835706462</v>
      </c>
      <c r="X65" s="4">
        <f t="shared" si="43"/>
        <v>0.76444414019715223</v>
      </c>
      <c r="Y65" s="4">
        <f t="shared" si="43"/>
        <v>0.77108433734939763</v>
      </c>
      <c r="Z65" s="4">
        <f t="shared" si="43"/>
        <v>0.74996957527078012</v>
      </c>
      <c r="AA65" s="4">
        <f t="shared" si="43"/>
        <v>0.738513864068715</v>
      </c>
      <c r="AB65" s="15"/>
      <c r="AC65" s="15"/>
      <c r="AD65" s="4">
        <f t="shared" si="43"/>
        <v>0.76356233513017546</v>
      </c>
      <c r="AE65" s="4">
        <f t="shared" si="43"/>
        <v>0.74856956024194865</v>
      </c>
      <c r="AF65" s="4">
        <f t="shared" si="43"/>
        <v>0.75607350498338866</v>
      </c>
    </row>
    <row r="66" spans="1:32" ht="15.75" thickBot="1" x14ac:dyDescent="0.3">
      <c r="A66" s="20"/>
      <c r="B66" s="54"/>
      <c r="C66" s="7"/>
      <c r="D66" s="7"/>
      <c r="E66" s="26"/>
      <c r="F66" s="26"/>
      <c r="G66" s="16"/>
      <c r="H66" s="16"/>
      <c r="I66" s="7"/>
      <c r="J66" s="72"/>
      <c r="K66" s="73"/>
      <c r="L66" s="7"/>
      <c r="M66" s="7"/>
      <c r="N66" s="16"/>
      <c r="O66" s="16"/>
      <c r="P66" s="7"/>
      <c r="Q66" s="72"/>
      <c r="R66" s="73"/>
      <c r="S66" s="7"/>
      <c r="T66" s="7"/>
      <c r="U66" s="16"/>
      <c r="V66" s="16"/>
      <c r="W66" s="7"/>
      <c r="X66" s="72"/>
      <c r="Y66" s="73"/>
      <c r="Z66" s="7"/>
      <c r="AA66" s="82"/>
      <c r="AB66" s="87"/>
      <c r="AC66" s="16"/>
      <c r="AD66" s="7"/>
      <c r="AE66" s="72"/>
      <c r="AF66" s="73"/>
    </row>
    <row r="68" spans="1:32" ht="15.75" thickBot="1" x14ac:dyDescent="0.3"/>
    <row r="69" spans="1:32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  <c r="AF69" s="6">
        <v>31</v>
      </c>
    </row>
    <row r="70" spans="1:32" x14ac:dyDescent="0.25">
      <c r="A70" s="19" t="s">
        <v>8</v>
      </c>
      <c r="B70" s="59"/>
      <c r="C70" s="56">
        <v>0</v>
      </c>
      <c r="D70" s="56">
        <v>79</v>
      </c>
      <c r="E70" s="56">
        <v>151</v>
      </c>
      <c r="F70" s="56">
        <v>1117</v>
      </c>
      <c r="G70" s="60"/>
      <c r="H70" s="60"/>
      <c r="I70" s="56">
        <v>1117</v>
      </c>
      <c r="J70" s="68">
        <v>2530</v>
      </c>
      <c r="K70" s="69">
        <v>2126</v>
      </c>
      <c r="L70" s="56">
        <v>3123</v>
      </c>
      <c r="M70" s="56">
        <v>5221</v>
      </c>
      <c r="N70" s="60"/>
      <c r="O70" s="60"/>
      <c r="P70" s="56">
        <v>6031</v>
      </c>
      <c r="Q70" s="68">
        <v>6465</v>
      </c>
      <c r="R70" s="69">
        <v>7256</v>
      </c>
      <c r="S70" s="56">
        <v>8483</v>
      </c>
      <c r="T70" s="56">
        <v>10783</v>
      </c>
      <c r="U70" s="60"/>
      <c r="V70" s="60"/>
      <c r="W70" s="56">
        <v>11026</v>
      </c>
      <c r="X70" s="68">
        <v>11342</v>
      </c>
      <c r="Y70" s="69">
        <v>11934</v>
      </c>
      <c r="Z70" s="56">
        <v>13255</v>
      </c>
      <c r="AA70" s="80">
        <v>14673</v>
      </c>
      <c r="AB70" s="86"/>
      <c r="AC70" s="60"/>
      <c r="AD70" s="56">
        <v>15063</v>
      </c>
      <c r="AE70" s="68">
        <v>15525</v>
      </c>
      <c r="AF70" s="69">
        <v>16920</v>
      </c>
    </row>
    <row r="71" spans="1:32" x14ac:dyDescent="0.25">
      <c r="A71" s="19" t="s">
        <v>1</v>
      </c>
      <c r="B71" s="62"/>
      <c r="C71" s="52">
        <v>861</v>
      </c>
      <c r="D71" s="52">
        <f>C71+861</f>
        <v>1722</v>
      </c>
      <c r="E71" s="52">
        <f t="shared" ref="E71:F71" si="44">D71+861</f>
        <v>2583</v>
      </c>
      <c r="F71" s="52">
        <f t="shared" si="44"/>
        <v>3444</v>
      </c>
      <c r="G71" s="63"/>
      <c r="H71" s="63"/>
      <c r="I71" s="52">
        <f>F71+861</f>
        <v>4305</v>
      </c>
      <c r="J71" s="70">
        <f>I71+861</f>
        <v>5166</v>
      </c>
      <c r="K71" s="70">
        <f t="shared" ref="K71:M71" si="45">J71+861</f>
        <v>6027</v>
      </c>
      <c r="L71" s="70">
        <f t="shared" si="45"/>
        <v>6888</v>
      </c>
      <c r="M71" s="70">
        <f t="shared" si="45"/>
        <v>7749</v>
      </c>
      <c r="N71" s="85"/>
      <c r="O71" s="63"/>
      <c r="P71" s="52">
        <f>M71+861</f>
        <v>8610</v>
      </c>
      <c r="Q71" s="70">
        <f>P71+861</f>
        <v>9471</v>
      </c>
      <c r="R71" s="70">
        <f t="shared" ref="R71:T71" si="46">Q71+861</f>
        <v>10332</v>
      </c>
      <c r="S71" s="70">
        <f t="shared" si="46"/>
        <v>11193</v>
      </c>
      <c r="T71" s="70">
        <f t="shared" si="46"/>
        <v>12054</v>
      </c>
      <c r="U71" s="85"/>
      <c r="V71" s="63"/>
      <c r="W71" s="52">
        <f>T71+861</f>
        <v>12915</v>
      </c>
      <c r="X71" s="70">
        <f>W71+861</f>
        <v>13776</v>
      </c>
      <c r="Y71" s="70">
        <f t="shared" ref="Y71:AA71" si="47">X71+861</f>
        <v>14637</v>
      </c>
      <c r="Z71" s="70">
        <f t="shared" si="47"/>
        <v>15498</v>
      </c>
      <c r="AA71" s="70">
        <f t="shared" si="47"/>
        <v>16359</v>
      </c>
      <c r="AB71" s="85"/>
      <c r="AC71" s="63"/>
      <c r="AD71" s="52">
        <f>AA71+861</f>
        <v>17220</v>
      </c>
      <c r="AE71" s="83">
        <f>AD71+861</f>
        <v>18081</v>
      </c>
      <c r="AF71" s="83">
        <f>AE71+861</f>
        <v>18942</v>
      </c>
    </row>
    <row r="72" spans="1:32" x14ac:dyDescent="0.25">
      <c r="A72" s="19" t="s">
        <v>2</v>
      </c>
      <c r="B72" s="53"/>
      <c r="C72" s="4">
        <f>C70/C71</f>
        <v>0</v>
      </c>
      <c r="D72" s="4">
        <f t="shared" ref="D72:AF72" si="48">D70/D71</f>
        <v>4.5876887340301972E-2</v>
      </c>
      <c r="E72" s="4">
        <f t="shared" si="48"/>
        <v>5.8459156020131631E-2</v>
      </c>
      <c r="F72" s="4">
        <f t="shared" si="48"/>
        <v>0.3243321718931475</v>
      </c>
      <c r="G72" s="15"/>
      <c r="H72" s="15"/>
      <c r="I72" s="4">
        <f t="shared" si="48"/>
        <v>0.25946573751451801</v>
      </c>
      <c r="J72" s="4">
        <f t="shared" si="48"/>
        <v>0.4897406116918312</v>
      </c>
      <c r="K72" s="4">
        <f t="shared" si="48"/>
        <v>0.35274597643935623</v>
      </c>
      <c r="L72" s="4">
        <f t="shared" si="48"/>
        <v>0.45339721254355403</v>
      </c>
      <c r="M72" s="4">
        <f t="shared" si="48"/>
        <v>0.67376435669118595</v>
      </c>
      <c r="N72" s="15"/>
      <c r="O72" s="15"/>
      <c r="P72" s="4">
        <f t="shared" si="48"/>
        <v>0.70046457607433221</v>
      </c>
      <c r="Q72" s="4">
        <f t="shared" si="48"/>
        <v>0.68261007285397535</v>
      </c>
      <c r="R72" s="4">
        <f t="shared" si="48"/>
        <v>0.70228416569879981</v>
      </c>
      <c r="S72" s="4">
        <f t="shared" si="48"/>
        <v>0.75788439203073354</v>
      </c>
      <c r="T72" s="4">
        <f t="shared" si="48"/>
        <v>0.89455782312925169</v>
      </c>
      <c r="U72" s="15"/>
      <c r="V72" s="15"/>
      <c r="W72" s="4">
        <f t="shared" si="48"/>
        <v>0.85373596593108791</v>
      </c>
      <c r="X72" s="4">
        <f t="shared" si="48"/>
        <v>0.82331591173054586</v>
      </c>
      <c r="Y72" s="4">
        <f t="shared" si="48"/>
        <v>0.81533101045296164</v>
      </c>
      <c r="Z72" s="4">
        <f t="shared" si="48"/>
        <v>0.85527164795457478</v>
      </c>
      <c r="AA72" s="4">
        <f t="shared" si="48"/>
        <v>0.89693746561525767</v>
      </c>
      <c r="AB72" s="15"/>
      <c r="AC72" s="15"/>
      <c r="AD72" s="4">
        <f t="shared" si="48"/>
        <v>0.87473867595818811</v>
      </c>
      <c r="AE72" s="4">
        <f t="shared" si="48"/>
        <v>0.85863613738178202</v>
      </c>
      <c r="AF72" s="4">
        <f t="shared" si="48"/>
        <v>0.89325308837503958</v>
      </c>
    </row>
    <row r="73" spans="1:32" ht="15.75" thickBot="1" x14ac:dyDescent="0.3">
      <c r="A73" s="20"/>
      <c r="B73" s="54"/>
      <c r="C73" s="7"/>
      <c r="D73" s="7"/>
      <c r="E73" s="26"/>
      <c r="F73" s="26"/>
      <c r="G73" s="16"/>
      <c r="H73" s="16"/>
      <c r="I73" s="7"/>
      <c r="J73" s="72"/>
      <c r="K73" s="73"/>
      <c r="L73" s="7"/>
      <c r="M73" s="7"/>
      <c r="N73" s="16"/>
      <c r="O73" s="16"/>
      <c r="P73" s="7"/>
      <c r="Q73" s="72"/>
      <c r="R73" s="73"/>
      <c r="S73" s="7"/>
      <c r="T73" s="7"/>
      <c r="U73" s="16"/>
      <c r="V73" s="16"/>
      <c r="W73" s="7"/>
      <c r="X73" s="72"/>
      <c r="Y73" s="73"/>
      <c r="Z73" s="7"/>
      <c r="AA73" s="82"/>
      <c r="AB73" s="87"/>
      <c r="AC73" s="16"/>
      <c r="AD73" s="7"/>
      <c r="AE73" s="72"/>
      <c r="AF73" s="73"/>
    </row>
    <row r="108" spans="1:32" ht="15.75" thickBot="1" x14ac:dyDescent="0.3"/>
    <row r="109" spans="1:32" x14ac:dyDescent="0.25">
      <c r="A109" s="18"/>
      <c r="B109" s="5">
        <v>1</v>
      </c>
      <c r="C109" s="5">
        <v>2</v>
      </c>
      <c r="D109" s="5">
        <v>3</v>
      </c>
      <c r="E109" s="5">
        <v>4</v>
      </c>
      <c r="F109" s="5">
        <v>5</v>
      </c>
      <c r="G109" s="5">
        <v>6</v>
      </c>
      <c r="H109" s="5">
        <v>7</v>
      </c>
      <c r="I109" s="5">
        <v>8</v>
      </c>
      <c r="J109" s="5">
        <v>9</v>
      </c>
      <c r="K109" s="5">
        <v>10</v>
      </c>
      <c r="L109" s="5">
        <v>11</v>
      </c>
      <c r="M109" s="5">
        <v>12</v>
      </c>
      <c r="N109" s="5">
        <v>13</v>
      </c>
      <c r="O109" s="5">
        <v>14</v>
      </c>
      <c r="P109" s="5">
        <v>15</v>
      </c>
      <c r="Q109" s="5">
        <v>16</v>
      </c>
      <c r="R109" s="5">
        <v>17</v>
      </c>
      <c r="S109" s="5">
        <v>18</v>
      </c>
      <c r="T109" s="5">
        <v>19</v>
      </c>
      <c r="U109" s="5">
        <v>20</v>
      </c>
      <c r="V109" s="5">
        <v>21</v>
      </c>
      <c r="W109" s="5">
        <v>22</v>
      </c>
      <c r="X109" s="5">
        <v>23</v>
      </c>
      <c r="Y109" s="5">
        <v>24</v>
      </c>
      <c r="Z109" s="5">
        <v>25</v>
      </c>
      <c r="AA109" s="79">
        <v>26</v>
      </c>
      <c r="AB109" s="79">
        <v>27</v>
      </c>
      <c r="AC109" s="5">
        <v>28</v>
      </c>
      <c r="AD109" s="5">
        <v>29</v>
      </c>
      <c r="AE109" s="5">
        <v>30</v>
      </c>
      <c r="AF109" s="6">
        <v>31</v>
      </c>
    </row>
    <row r="110" spans="1:32" x14ac:dyDescent="0.25">
      <c r="A110" s="19" t="s">
        <v>8</v>
      </c>
      <c r="B110" s="59"/>
      <c r="C110" s="56"/>
      <c r="D110" s="56"/>
      <c r="E110" s="56"/>
      <c r="F110" s="56"/>
      <c r="G110" s="60"/>
      <c r="H110" s="60"/>
      <c r="I110" s="56"/>
      <c r="J110" s="68"/>
      <c r="K110" s="69"/>
      <c r="L110" s="56"/>
      <c r="M110" s="56"/>
      <c r="N110" s="60"/>
      <c r="O110" s="60"/>
      <c r="P110" s="56"/>
      <c r="Q110" s="68"/>
      <c r="R110" s="69"/>
      <c r="S110" s="56"/>
      <c r="T110" s="56"/>
      <c r="U110" s="60"/>
      <c r="V110" s="60"/>
      <c r="W110" s="56"/>
      <c r="X110" s="68"/>
      <c r="Y110" s="69"/>
      <c r="Z110" s="56"/>
      <c r="AA110" s="80"/>
      <c r="AB110" s="86"/>
      <c r="AC110" s="60"/>
      <c r="AD110" s="56"/>
      <c r="AE110" s="68"/>
      <c r="AF110" s="69"/>
    </row>
    <row r="111" spans="1:32" x14ac:dyDescent="0.25">
      <c r="A111" s="19" t="s">
        <v>1</v>
      </c>
      <c r="B111" s="62"/>
      <c r="C111" s="52"/>
      <c r="D111" s="52"/>
      <c r="E111" s="52"/>
      <c r="F111" s="52"/>
      <c r="G111" s="63"/>
      <c r="H111" s="63"/>
      <c r="I111" s="52"/>
      <c r="J111" s="70"/>
      <c r="K111" s="71"/>
      <c r="L111" s="71"/>
      <c r="M111" s="71"/>
      <c r="N111" s="85"/>
      <c r="O111" s="63"/>
      <c r="P111" s="52"/>
      <c r="Q111" s="70"/>
      <c r="R111" s="71"/>
      <c r="S111" s="71"/>
      <c r="T111" s="71"/>
      <c r="U111" s="85"/>
      <c r="V111" s="63"/>
      <c r="W111" s="52"/>
      <c r="X111" s="70"/>
      <c r="Y111" s="71"/>
      <c r="Z111" s="71"/>
      <c r="AA111" s="71"/>
      <c r="AB111" s="85"/>
      <c r="AC111" s="63"/>
      <c r="AD111" s="52"/>
      <c r="AE111" s="83"/>
      <c r="AF111" s="81"/>
    </row>
    <row r="112" spans="1:32" x14ac:dyDescent="0.25">
      <c r="A112" s="19" t="s">
        <v>2</v>
      </c>
      <c r="B112" s="53"/>
      <c r="C112" s="4"/>
      <c r="D112" s="4"/>
      <c r="E112" s="4"/>
      <c r="F112" s="4"/>
      <c r="G112" s="15"/>
      <c r="H112" s="15"/>
      <c r="I112" s="4"/>
      <c r="J112" s="4"/>
      <c r="K112" s="4"/>
      <c r="L112" s="4"/>
      <c r="M112" s="4"/>
      <c r="N112" s="15"/>
      <c r="O112" s="15"/>
      <c r="P112" s="4"/>
      <c r="Q112" s="4"/>
      <c r="R112" s="4"/>
      <c r="S112" s="4"/>
      <c r="T112" s="4"/>
      <c r="U112" s="15"/>
      <c r="V112" s="15"/>
      <c r="W112" s="4"/>
      <c r="X112" s="4"/>
      <c r="Y112" s="4"/>
      <c r="Z112" s="4"/>
      <c r="AA112" s="4"/>
      <c r="AB112" s="15"/>
      <c r="AC112" s="15"/>
      <c r="AD112" s="4"/>
      <c r="AE112" s="4"/>
      <c r="AF112" s="4"/>
    </row>
    <row r="113" spans="1:32" ht="15.75" thickBot="1" x14ac:dyDescent="0.3">
      <c r="A113" s="20"/>
      <c r="B113" s="54"/>
      <c r="C113" s="7"/>
      <c r="D113" s="7"/>
      <c r="E113" s="26"/>
      <c r="F113" s="26"/>
      <c r="G113" s="16"/>
      <c r="H113" s="16"/>
      <c r="I113" s="7"/>
      <c r="J113" s="72"/>
      <c r="K113" s="73"/>
      <c r="L113" s="7"/>
      <c r="M113" s="7"/>
      <c r="N113" s="16"/>
      <c r="O113" s="16"/>
      <c r="P113" s="7"/>
      <c r="Q113" s="72"/>
      <c r="R113" s="73"/>
      <c r="S113" s="7"/>
      <c r="T113" s="7"/>
      <c r="U113" s="16"/>
      <c r="V113" s="16"/>
      <c r="W113" s="7"/>
      <c r="X113" s="72"/>
      <c r="Y113" s="73"/>
      <c r="Z113" s="7"/>
      <c r="AA113" s="82"/>
      <c r="AB113" s="87"/>
      <c r="AC113" s="16"/>
      <c r="AD113" s="7"/>
      <c r="AE113" s="72"/>
      <c r="AF113" s="73"/>
    </row>
  </sheetData>
  <sheetProtection selectLockedCells="1" selectUnlockedCells="1"/>
  <mergeCells count="1">
    <mergeCell ref="C1:W1"/>
  </mergeCells>
  <pageMargins left="0.19685039370078741" right="0.19685039370078741" top="0.15748031496062992" bottom="0.15748031496062992" header="0.31496062992125984" footer="0.31496062992125984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3"/>
  <sheetViews>
    <sheetView topLeftCell="B16" zoomScale="70" zoomScaleNormal="70" workbookViewId="0">
      <selection activeCell="AC36" sqref="AC36"/>
    </sheetView>
  </sheetViews>
  <sheetFormatPr baseColWidth="10" defaultRowHeight="15" x14ac:dyDescent="0.25"/>
  <cols>
    <col min="1" max="1" width="56.7109375" customWidth="1"/>
    <col min="2" max="26" width="8.7109375" customWidth="1"/>
    <col min="27" max="27" width="9.140625" style="39" customWidth="1"/>
    <col min="28" max="28" width="9.85546875" style="39" customWidth="1"/>
    <col min="29" max="29" width="9.7109375" customWidth="1"/>
  </cols>
  <sheetData>
    <row r="1" spans="1:34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4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</row>
    <row r="3" spans="1:34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</row>
    <row r="4" spans="1:34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>
        <f>20</f>
        <v>20</v>
      </c>
    </row>
    <row r="5" spans="1:34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</row>
    <row r="6" spans="1:34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57"/>
      <c r="AE6" s="8"/>
      <c r="AF6" s="8"/>
      <c r="AG6" s="8"/>
      <c r="AH6" s="8"/>
    </row>
    <row r="7" spans="1:34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67"/>
      <c r="AE7" s="27"/>
      <c r="AF7" s="9"/>
      <c r="AG7" s="27"/>
      <c r="AH7" s="9"/>
    </row>
    <row r="8" spans="1:34" x14ac:dyDescent="0.25">
      <c r="A8" s="19" t="s">
        <v>8</v>
      </c>
      <c r="B8" s="56">
        <v>5140</v>
      </c>
      <c r="C8" s="56">
        <v>9377</v>
      </c>
      <c r="D8" s="60"/>
      <c r="E8" s="60"/>
      <c r="F8" s="56">
        <v>13103</v>
      </c>
      <c r="G8" s="56">
        <v>19795</v>
      </c>
      <c r="H8" s="56">
        <v>24383</v>
      </c>
      <c r="I8" s="56">
        <v>31035</v>
      </c>
      <c r="J8" s="68">
        <v>39045</v>
      </c>
      <c r="K8" s="89"/>
      <c r="L8" s="60"/>
      <c r="M8" s="56">
        <v>44206</v>
      </c>
      <c r="N8" s="56">
        <v>50393</v>
      </c>
      <c r="O8" s="56">
        <v>53762</v>
      </c>
      <c r="P8" s="56">
        <v>57311</v>
      </c>
      <c r="Q8" s="68">
        <v>66565</v>
      </c>
      <c r="R8" s="89"/>
      <c r="S8" s="60"/>
      <c r="T8" s="56">
        <v>68749</v>
      </c>
      <c r="U8" s="56">
        <v>74818</v>
      </c>
      <c r="V8" s="56">
        <v>81201</v>
      </c>
      <c r="W8" s="56">
        <v>88607</v>
      </c>
      <c r="X8" s="68">
        <v>94536</v>
      </c>
      <c r="Y8" s="89"/>
      <c r="Z8" s="60"/>
      <c r="AA8" s="80">
        <v>97967</v>
      </c>
      <c r="AB8" s="80">
        <v>102938</v>
      </c>
      <c r="AC8" s="120">
        <v>106079</v>
      </c>
      <c r="AD8" s="58"/>
      <c r="AE8" s="2"/>
      <c r="AF8" s="2"/>
      <c r="AG8" s="2"/>
      <c r="AH8" s="10"/>
    </row>
    <row r="9" spans="1:34" x14ac:dyDescent="0.25">
      <c r="A9" s="19" t="s">
        <v>1</v>
      </c>
      <c r="B9" s="52">
        <v>5856</v>
      </c>
      <c r="C9" s="52">
        <f>B9+5856</f>
        <v>11712</v>
      </c>
      <c r="D9" s="63"/>
      <c r="E9" s="63"/>
      <c r="F9" s="52">
        <f>C9+5856</f>
        <v>17568</v>
      </c>
      <c r="G9" s="52">
        <f>F9+5856</f>
        <v>23424</v>
      </c>
      <c r="H9" s="52">
        <f t="shared" ref="H9:J9" si="0">G9+5856</f>
        <v>29280</v>
      </c>
      <c r="I9" s="52">
        <f t="shared" si="0"/>
        <v>35136</v>
      </c>
      <c r="J9" s="52">
        <f t="shared" si="0"/>
        <v>40992</v>
      </c>
      <c r="K9" s="85"/>
      <c r="L9" s="85"/>
      <c r="M9" s="71">
        <f>J9+5856</f>
        <v>46848</v>
      </c>
      <c r="N9" s="71">
        <f>M9+5856</f>
        <v>52704</v>
      </c>
      <c r="O9" s="71">
        <f t="shared" ref="O9:Q9" si="1">N9+5856</f>
        <v>58560</v>
      </c>
      <c r="P9" s="71">
        <f t="shared" si="1"/>
        <v>64416</v>
      </c>
      <c r="Q9" s="71">
        <f t="shared" si="1"/>
        <v>70272</v>
      </c>
      <c r="R9" s="85"/>
      <c r="S9" s="85"/>
      <c r="T9" s="71">
        <f>Q9+5856</f>
        <v>76128</v>
      </c>
      <c r="U9" s="71">
        <f>T9+5856</f>
        <v>81984</v>
      </c>
      <c r="V9" s="52">
        <f>U9+5856</f>
        <v>87840</v>
      </c>
      <c r="W9" s="52">
        <f t="shared" ref="W9:X9" si="2">V9+5856</f>
        <v>93696</v>
      </c>
      <c r="X9" s="52">
        <f t="shared" si="2"/>
        <v>99552</v>
      </c>
      <c r="Y9" s="85"/>
      <c r="Z9" s="85"/>
      <c r="AA9" s="71">
        <f>X9+5856</f>
        <v>105408</v>
      </c>
      <c r="AB9" s="71">
        <f>AA9+5856</f>
        <v>111264</v>
      </c>
      <c r="AC9" s="71">
        <f>AB9+5856</f>
        <v>117120</v>
      </c>
      <c r="AD9" s="58"/>
      <c r="AE9" s="2"/>
      <c r="AF9" s="2"/>
      <c r="AG9" s="2"/>
      <c r="AH9" s="2"/>
    </row>
    <row r="10" spans="1:34" x14ac:dyDescent="0.25">
      <c r="A10" s="19" t="s">
        <v>2</v>
      </c>
      <c r="B10" s="4">
        <f>B8/B9</f>
        <v>0.87773224043715847</v>
      </c>
      <c r="C10" s="4">
        <f t="shared" ref="C10:AC10" si="3">C8/C9</f>
        <v>0.80063183060109289</v>
      </c>
      <c r="D10" s="15"/>
      <c r="E10" s="15"/>
      <c r="F10" s="4">
        <f t="shared" si="3"/>
        <v>0.74584471766848814</v>
      </c>
      <c r="G10" s="4">
        <f t="shared" si="3"/>
        <v>0.84507342896174864</v>
      </c>
      <c r="H10" s="4">
        <f t="shared" si="3"/>
        <v>0.83275273224043711</v>
      </c>
      <c r="I10" s="4">
        <f t="shared" si="3"/>
        <v>0.88328210382513661</v>
      </c>
      <c r="J10" s="4">
        <f t="shared" si="3"/>
        <v>0.95250292740046838</v>
      </c>
      <c r="K10" s="15"/>
      <c r="L10" s="15"/>
      <c r="M10" s="4">
        <f t="shared" si="3"/>
        <v>0.94360484972677594</v>
      </c>
      <c r="N10" s="4">
        <f t="shared" si="3"/>
        <v>0.95615133576199152</v>
      </c>
      <c r="O10" s="4">
        <f t="shared" si="3"/>
        <v>0.91806693989071042</v>
      </c>
      <c r="P10" s="4">
        <f t="shared" si="3"/>
        <v>0.88970131644311967</v>
      </c>
      <c r="Q10" s="4">
        <f t="shared" si="3"/>
        <v>0.94724783697632053</v>
      </c>
      <c r="R10" s="15"/>
      <c r="S10" s="15"/>
      <c r="T10" s="4">
        <f t="shared" si="3"/>
        <v>0.9030711433375368</v>
      </c>
      <c r="U10" s="4">
        <f t="shared" si="3"/>
        <v>0.91259270101483214</v>
      </c>
      <c r="V10" s="4">
        <f t="shared" si="3"/>
        <v>0.92441939890710378</v>
      </c>
      <c r="W10" s="4">
        <f t="shared" si="3"/>
        <v>0.94568604849726778</v>
      </c>
      <c r="X10" s="4">
        <f t="shared" si="3"/>
        <v>0.94961427193828352</v>
      </c>
      <c r="Y10" s="15"/>
      <c r="Z10" s="15"/>
      <c r="AA10" s="4">
        <f t="shared" si="3"/>
        <v>0.92940763509411051</v>
      </c>
      <c r="AB10" s="4">
        <f t="shared" si="3"/>
        <v>0.92516896750071898</v>
      </c>
      <c r="AC10" s="4">
        <f t="shared" si="3"/>
        <v>0.9057291666666667</v>
      </c>
      <c r="AD10" s="11"/>
      <c r="AE10" s="11"/>
      <c r="AF10" s="11"/>
      <c r="AG10" s="11"/>
      <c r="AH10" s="11"/>
    </row>
    <row r="11" spans="1:34" ht="15.75" thickBot="1" x14ac:dyDescent="0.3">
      <c r="A11" s="20"/>
      <c r="B11" s="7"/>
      <c r="C11" s="7"/>
      <c r="D11" s="16"/>
      <c r="E11" s="88"/>
      <c r="F11" s="26"/>
      <c r="G11" s="7"/>
      <c r="H11" s="7"/>
      <c r="I11" s="7"/>
      <c r="J11" s="72"/>
      <c r="K11" s="90"/>
      <c r="L11" s="16"/>
      <c r="M11" s="7"/>
      <c r="N11" s="7"/>
      <c r="O11" s="7"/>
      <c r="P11" s="7"/>
      <c r="Q11" s="72"/>
      <c r="R11" s="90"/>
      <c r="S11" s="16"/>
      <c r="T11" s="7"/>
      <c r="U11" s="7"/>
      <c r="V11" s="7"/>
      <c r="W11" s="7"/>
      <c r="X11" s="72"/>
      <c r="Y11" s="90"/>
      <c r="Z11" s="16"/>
      <c r="AA11" s="82"/>
      <c r="AB11" s="82"/>
      <c r="AC11" s="7"/>
      <c r="AD11" s="11"/>
      <c r="AE11" s="11"/>
      <c r="AF11" s="11"/>
      <c r="AG11" s="11"/>
      <c r="AH11" s="11"/>
    </row>
    <row r="12" spans="1:34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</row>
    <row r="13" spans="1:34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</row>
    <row r="14" spans="1:34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32"/>
    </row>
    <row r="15" spans="1:34" x14ac:dyDescent="0.25">
      <c r="A15" s="19" t="s">
        <v>8</v>
      </c>
      <c r="B15" s="56">
        <v>2168</v>
      </c>
      <c r="C15" s="56">
        <v>2900</v>
      </c>
      <c r="D15" s="60"/>
      <c r="E15" s="60"/>
      <c r="F15" s="56">
        <v>3488</v>
      </c>
      <c r="G15" s="56">
        <v>3514</v>
      </c>
      <c r="H15" s="56">
        <v>3514</v>
      </c>
      <c r="I15" s="56">
        <v>4292</v>
      </c>
      <c r="J15" s="68">
        <v>4638</v>
      </c>
      <c r="K15" s="89"/>
      <c r="L15" s="60"/>
      <c r="M15" s="56">
        <v>5854</v>
      </c>
      <c r="N15" s="56">
        <v>6407</v>
      </c>
      <c r="O15" s="56">
        <v>7231</v>
      </c>
      <c r="P15" s="56">
        <v>8136</v>
      </c>
      <c r="Q15" s="68">
        <v>9332</v>
      </c>
      <c r="R15" s="89"/>
      <c r="S15" s="60"/>
      <c r="T15" s="56">
        <v>9942</v>
      </c>
      <c r="U15" s="56">
        <v>10258</v>
      </c>
      <c r="V15" s="56">
        <v>11644</v>
      </c>
      <c r="W15" s="56">
        <v>11644</v>
      </c>
      <c r="X15" s="68">
        <v>11933</v>
      </c>
      <c r="Y15" s="89"/>
      <c r="Z15" s="60"/>
      <c r="AA15" s="80">
        <v>12021</v>
      </c>
      <c r="AB15" s="80">
        <v>12409</v>
      </c>
      <c r="AC15" s="120">
        <v>12409</v>
      </c>
      <c r="AD15" s="32"/>
    </row>
    <row r="16" spans="1:34" x14ac:dyDescent="0.25">
      <c r="A16" s="19" t="s">
        <v>1</v>
      </c>
      <c r="B16" s="52">
        <v>792</v>
      </c>
      <c r="C16" s="52">
        <f>B16+792</f>
        <v>1584</v>
      </c>
      <c r="D16" s="63"/>
      <c r="E16" s="63"/>
      <c r="F16" s="52">
        <f>C16+792</f>
        <v>2376</v>
      </c>
      <c r="G16" s="52">
        <f>F16+792</f>
        <v>3168</v>
      </c>
      <c r="H16" s="52">
        <f t="shared" ref="H16:J16" si="4">G16+792</f>
        <v>3960</v>
      </c>
      <c r="I16" s="52">
        <f t="shared" si="4"/>
        <v>4752</v>
      </c>
      <c r="J16" s="52">
        <f t="shared" si="4"/>
        <v>5544</v>
      </c>
      <c r="K16" s="85"/>
      <c r="L16" s="85"/>
      <c r="M16" s="71">
        <f>J16+792</f>
        <v>6336</v>
      </c>
      <c r="N16" s="71">
        <f>M16+792</f>
        <v>7128</v>
      </c>
      <c r="O16" s="71">
        <f t="shared" ref="O16:Q16" si="5">N16+792</f>
        <v>7920</v>
      </c>
      <c r="P16" s="71">
        <f t="shared" si="5"/>
        <v>8712</v>
      </c>
      <c r="Q16" s="71">
        <f t="shared" si="5"/>
        <v>9504</v>
      </c>
      <c r="R16" s="85"/>
      <c r="S16" s="85"/>
      <c r="T16" s="71">
        <f>Q16+792</f>
        <v>10296</v>
      </c>
      <c r="U16" s="71">
        <f>T16+792</f>
        <v>11088</v>
      </c>
      <c r="V16" s="52">
        <f>U16+792</f>
        <v>11880</v>
      </c>
      <c r="W16" s="52">
        <f t="shared" ref="W16:X16" si="6">V16+792</f>
        <v>12672</v>
      </c>
      <c r="X16" s="52">
        <f t="shared" si="6"/>
        <v>13464</v>
      </c>
      <c r="Y16" s="85"/>
      <c r="Z16" s="85"/>
      <c r="AA16" s="71">
        <f>X16+792</f>
        <v>14256</v>
      </c>
      <c r="AB16" s="71">
        <f>AA16+792</f>
        <v>15048</v>
      </c>
      <c r="AC16" s="71">
        <f>AB16+792</f>
        <v>15840</v>
      </c>
      <c r="AD16" s="32"/>
    </row>
    <row r="17" spans="1:30" x14ac:dyDescent="0.25">
      <c r="A17" s="19" t="s">
        <v>2</v>
      </c>
      <c r="B17" s="4">
        <f>B15/B16</f>
        <v>2.7373737373737375</v>
      </c>
      <c r="C17" s="4">
        <f t="shared" ref="C17:AC17" si="7">C15/C16</f>
        <v>1.8308080808080809</v>
      </c>
      <c r="D17" s="15"/>
      <c r="E17" s="15"/>
      <c r="F17" s="4">
        <f t="shared" si="7"/>
        <v>1.468013468013468</v>
      </c>
      <c r="G17" s="4">
        <f t="shared" si="7"/>
        <v>1.1092171717171717</v>
      </c>
      <c r="H17" s="4">
        <f t="shared" si="7"/>
        <v>0.88737373737373737</v>
      </c>
      <c r="I17" s="4">
        <f t="shared" si="7"/>
        <v>0.90319865319865322</v>
      </c>
      <c r="J17" s="4">
        <f t="shared" si="7"/>
        <v>0.83658008658008653</v>
      </c>
      <c r="K17" s="15"/>
      <c r="L17" s="15"/>
      <c r="M17" s="4">
        <f t="shared" si="7"/>
        <v>0.92392676767676762</v>
      </c>
      <c r="N17" s="4">
        <f t="shared" si="7"/>
        <v>0.89884960718294049</v>
      </c>
      <c r="O17" s="4">
        <f t="shared" si="7"/>
        <v>0.91300505050505054</v>
      </c>
      <c r="P17" s="4">
        <f t="shared" si="7"/>
        <v>0.93388429752066116</v>
      </c>
      <c r="Q17" s="4">
        <f t="shared" si="7"/>
        <v>0.98190235690235694</v>
      </c>
      <c r="R17" s="15"/>
      <c r="S17" s="15"/>
      <c r="T17" s="4">
        <f t="shared" si="7"/>
        <v>0.96561771561771559</v>
      </c>
      <c r="U17" s="4">
        <f t="shared" si="7"/>
        <v>0.92514430014430016</v>
      </c>
      <c r="V17" s="4">
        <f t="shared" si="7"/>
        <v>0.98013468013468008</v>
      </c>
      <c r="W17" s="4">
        <f t="shared" si="7"/>
        <v>0.91887626262626265</v>
      </c>
      <c r="X17" s="4">
        <f t="shared" si="7"/>
        <v>0.88628936423054072</v>
      </c>
      <c r="Y17" s="15"/>
      <c r="Z17" s="15"/>
      <c r="AA17" s="4">
        <f t="shared" si="7"/>
        <v>0.84322390572390571</v>
      </c>
      <c r="AB17" s="4">
        <f t="shared" si="7"/>
        <v>0.82462785752259438</v>
      </c>
      <c r="AC17" s="4">
        <f t="shared" si="7"/>
        <v>0.78339646464646462</v>
      </c>
      <c r="AD17" s="32"/>
    </row>
    <row r="18" spans="1:30" ht="15.75" thickBot="1" x14ac:dyDescent="0.3">
      <c r="A18" s="20"/>
      <c r="B18" s="7"/>
      <c r="C18" s="7"/>
      <c r="D18" s="16"/>
      <c r="E18" s="88"/>
      <c r="F18" s="26"/>
      <c r="G18" s="7"/>
      <c r="H18" s="7"/>
      <c r="I18" s="7"/>
      <c r="J18" s="72"/>
      <c r="K18" s="90"/>
      <c r="L18" s="16"/>
      <c r="M18" s="7"/>
      <c r="N18" s="7"/>
      <c r="O18" s="7"/>
      <c r="P18" s="7"/>
      <c r="Q18" s="72"/>
      <c r="R18" s="90"/>
      <c r="S18" s="16"/>
      <c r="T18" s="7"/>
      <c r="U18" s="7"/>
      <c r="V18" s="7"/>
      <c r="W18" s="7"/>
      <c r="X18" s="72"/>
      <c r="Y18" s="90"/>
      <c r="Z18" s="16"/>
      <c r="AA18" s="82"/>
      <c r="AB18" s="82"/>
      <c r="AC18" s="7"/>
      <c r="AD18" s="32"/>
    </row>
    <row r="19" spans="1:30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</row>
    <row r="20" spans="1:30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</row>
    <row r="21" spans="1:30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32"/>
    </row>
    <row r="22" spans="1:30" x14ac:dyDescent="0.25">
      <c r="A22" s="19" t="s">
        <v>8</v>
      </c>
      <c r="B22" s="56">
        <v>1595</v>
      </c>
      <c r="C22" s="56">
        <v>4356</v>
      </c>
      <c r="D22" s="60"/>
      <c r="E22" s="60"/>
      <c r="F22" s="56">
        <v>4623</v>
      </c>
      <c r="G22" s="56">
        <v>5927</v>
      </c>
      <c r="H22" s="56">
        <v>7383</v>
      </c>
      <c r="I22" s="56">
        <v>11742</v>
      </c>
      <c r="J22" s="68">
        <v>14708</v>
      </c>
      <c r="K22" s="89"/>
      <c r="L22" s="60"/>
      <c r="M22" s="56">
        <v>17106</v>
      </c>
      <c r="N22" s="56">
        <v>17975</v>
      </c>
      <c r="O22" s="56">
        <v>18413</v>
      </c>
      <c r="P22" s="56">
        <v>20860</v>
      </c>
      <c r="Q22" s="68">
        <v>23542</v>
      </c>
      <c r="R22" s="89"/>
      <c r="S22" s="60"/>
      <c r="T22" s="56">
        <v>26352</v>
      </c>
      <c r="U22" s="56">
        <v>27215</v>
      </c>
      <c r="V22" s="56">
        <v>29700</v>
      </c>
      <c r="W22" s="56">
        <v>32184</v>
      </c>
      <c r="X22" s="68">
        <v>34083</v>
      </c>
      <c r="Y22" s="89"/>
      <c r="Z22" s="60"/>
      <c r="AA22" s="80">
        <v>37374</v>
      </c>
      <c r="AB22" s="80">
        <v>38696</v>
      </c>
      <c r="AC22" s="120">
        <v>39426</v>
      </c>
      <c r="AD22" s="32"/>
    </row>
    <row r="23" spans="1:30" x14ac:dyDescent="0.25">
      <c r="A23" s="19" t="s">
        <v>1</v>
      </c>
      <c r="B23" s="52">
        <v>2877</v>
      </c>
      <c r="C23" s="52">
        <f>B23+2877</f>
        <v>5754</v>
      </c>
      <c r="D23" s="63"/>
      <c r="E23" s="63"/>
      <c r="F23" s="52">
        <f>C23+2877</f>
        <v>8631</v>
      </c>
      <c r="G23" s="52">
        <f>F23+2877</f>
        <v>11508</v>
      </c>
      <c r="H23" s="52">
        <f t="shared" ref="H23:J23" si="8">G23+2877</f>
        <v>14385</v>
      </c>
      <c r="I23" s="52">
        <f t="shared" si="8"/>
        <v>17262</v>
      </c>
      <c r="J23" s="52">
        <f t="shared" si="8"/>
        <v>20139</v>
      </c>
      <c r="K23" s="85"/>
      <c r="L23" s="85"/>
      <c r="M23" s="71">
        <f>J23+2877</f>
        <v>23016</v>
      </c>
      <c r="N23" s="71">
        <f>M23+2877</f>
        <v>25893</v>
      </c>
      <c r="O23" s="71">
        <f t="shared" ref="O23:Q23" si="9">N23+2877</f>
        <v>28770</v>
      </c>
      <c r="P23" s="71">
        <f t="shared" si="9"/>
        <v>31647</v>
      </c>
      <c r="Q23" s="71">
        <f t="shared" si="9"/>
        <v>34524</v>
      </c>
      <c r="R23" s="85"/>
      <c r="S23" s="85"/>
      <c r="T23" s="71">
        <f>Q23+2877</f>
        <v>37401</v>
      </c>
      <c r="U23" s="71">
        <f>T23+2877</f>
        <v>40278</v>
      </c>
      <c r="V23" s="71">
        <f t="shared" ref="V23:X23" si="10">U23+2877</f>
        <v>43155</v>
      </c>
      <c r="W23" s="71">
        <f t="shared" si="10"/>
        <v>46032</v>
      </c>
      <c r="X23" s="71">
        <f t="shared" si="10"/>
        <v>48909</v>
      </c>
      <c r="Y23" s="85"/>
      <c r="Z23" s="85"/>
      <c r="AA23" s="71">
        <f>X23+2877</f>
        <v>51786</v>
      </c>
      <c r="AB23" s="71">
        <f>AA23+2877</f>
        <v>54663</v>
      </c>
      <c r="AC23" s="71">
        <f>AB23+3266</f>
        <v>57929</v>
      </c>
      <c r="AD23" s="32"/>
    </row>
    <row r="24" spans="1:30" x14ac:dyDescent="0.25">
      <c r="A24" s="19" t="s">
        <v>2</v>
      </c>
      <c r="B24" s="4">
        <f>B22/B23</f>
        <v>0.55439694125825512</v>
      </c>
      <c r="C24" s="4">
        <f t="shared" ref="C24:AC24" si="11">C22/C23</f>
        <v>0.75703858185610007</v>
      </c>
      <c r="D24" s="15"/>
      <c r="E24" s="15"/>
      <c r="F24" s="4">
        <f t="shared" si="11"/>
        <v>0.53562738964198819</v>
      </c>
      <c r="G24" s="4">
        <f t="shared" si="11"/>
        <v>0.51503302050747302</v>
      </c>
      <c r="H24" s="4">
        <f t="shared" si="11"/>
        <v>0.51324296141814385</v>
      </c>
      <c r="I24" s="4">
        <f t="shared" si="11"/>
        <v>0.68022245394508163</v>
      </c>
      <c r="J24" s="4">
        <f t="shared" si="11"/>
        <v>0.73032424648691596</v>
      </c>
      <c r="K24" s="15"/>
      <c r="L24" s="15"/>
      <c r="M24" s="4">
        <f t="shared" si="11"/>
        <v>0.74322210636079244</v>
      </c>
      <c r="N24" s="4">
        <f t="shared" si="11"/>
        <v>0.69420306646584018</v>
      </c>
      <c r="O24" s="4">
        <f t="shared" si="11"/>
        <v>0.64000695168578381</v>
      </c>
      <c r="P24" s="4">
        <f t="shared" si="11"/>
        <v>0.65914620659146206</v>
      </c>
      <c r="Q24" s="4">
        <f t="shared" si="11"/>
        <v>0.68190244467616734</v>
      </c>
      <c r="R24" s="15"/>
      <c r="S24" s="15"/>
      <c r="T24" s="4">
        <f t="shared" si="11"/>
        <v>0.70458009144140532</v>
      </c>
      <c r="U24" s="4">
        <f t="shared" si="11"/>
        <v>0.67567903073638214</v>
      </c>
      <c r="V24" s="4">
        <f t="shared" si="11"/>
        <v>0.68821689259645469</v>
      </c>
      <c r="W24" s="4">
        <f t="shared" si="11"/>
        <v>0.69916579770594367</v>
      </c>
      <c r="X24" s="4">
        <f t="shared" si="11"/>
        <v>0.69686560755689142</v>
      </c>
      <c r="Y24" s="15"/>
      <c r="Z24" s="15"/>
      <c r="AA24" s="4">
        <f t="shared" si="11"/>
        <v>0.72170084578843707</v>
      </c>
      <c r="AB24" s="4">
        <f t="shared" si="11"/>
        <v>0.70790113971059032</v>
      </c>
      <c r="AC24" s="4">
        <f t="shared" si="11"/>
        <v>0.68059175887724632</v>
      </c>
      <c r="AD24" s="32"/>
    </row>
    <row r="25" spans="1:30" ht="15.75" thickBot="1" x14ac:dyDescent="0.3">
      <c r="A25" s="20"/>
      <c r="B25" s="7"/>
      <c r="C25" s="7"/>
      <c r="D25" s="16"/>
      <c r="E25" s="88"/>
      <c r="F25" s="26"/>
      <c r="G25" s="7"/>
      <c r="H25" s="7"/>
      <c r="I25" s="7"/>
      <c r="J25" s="72"/>
      <c r="K25" s="90"/>
      <c r="L25" s="16"/>
      <c r="M25" s="7"/>
      <c r="N25" s="7"/>
      <c r="O25" s="7"/>
      <c r="P25" s="7"/>
      <c r="Q25" s="72"/>
      <c r="R25" s="90"/>
      <c r="S25" s="16"/>
      <c r="T25" s="7"/>
      <c r="U25" s="7"/>
      <c r="V25" s="7"/>
      <c r="W25" s="7"/>
      <c r="X25" s="72"/>
      <c r="Y25" s="90"/>
      <c r="Z25" s="16"/>
      <c r="AA25" s="82"/>
      <c r="AB25" s="82"/>
      <c r="AC25" s="7"/>
      <c r="AD25" s="32"/>
    </row>
    <row r="26" spans="1:30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</row>
    <row r="27" spans="1:30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</row>
    <row r="28" spans="1:30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32"/>
    </row>
    <row r="29" spans="1:30" x14ac:dyDescent="0.25">
      <c r="A29" s="19" t="s">
        <v>8</v>
      </c>
      <c r="B29" s="56">
        <v>358</v>
      </c>
      <c r="C29" s="56">
        <v>3046</v>
      </c>
      <c r="D29" s="60"/>
      <c r="E29" s="60"/>
      <c r="F29" s="56">
        <v>3652</v>
      </c>
      <c r="G29" s="56">
        <v>4934</v>
      </c>
      <c r="H29" s="56">
        <v>5819</v>
      </c>
      <c r="I29" s="56">
        <v>9353</v>
      </c>
      <c r="J29" s="68">
        <v>11600</v>
      </c>
      <c r="K29" s="89"/>
      <c r="L29" s="60"/>
      <c r="M29" s="56">
        <v>12045</v>
      </c>
      <c r="N29" s="56">
        <v>13706</v>
      </c>
      <c r="O29" s="56">
        <v>15316</v>
      </c>
      <c r="P29" s="56">
        <v>16498</v>
      </c>
      <c r="Q29" s="68">
        <v>16548</v>
      </c>
      <c r="R29" s="89"/>
      <c r="S29" s="60"/>
      <c r="T29" s="56">
        <v>16548</v>
      </c>
      <c r="U29" s="56">
        <v>17417</v>
      </c>
      <c r="V29" s="56">
        <v>18073</v>
      </c>
      <c r="W29" s="56">
        <v>18992</v>
      </c>
      <c r="X29" s="68">
        <v>20109</v>
      </c>
      <c r="Y29" s="89"/>
      <c r="Z29" s="60"/>
      <c r="AA29" s="80">
        <v>20557</v>
      </c>
      <c r="AB29" s="80">
        <v>25181</v>
      </c>
      <c r="AC29" s="120">
        <v>27940</v>
      </c>
      <c r="AD29" s="32"/>
    </row>
    <row r="30" spans="1:30" x14ac:dyDescent="0.25">
      <c r="A30" s="19" t="s">
        <v>1</v>
      </c>
      <c r="B30" s="52">
        <v>1770</v>
      </c>
      <c r="C30" s="52">
        <f>B30+1770</f>
        <v>3540</v>
      </c>
      <c r="D30" s="63"/>
      <c r="E30" s="63"/>
      <c r="F30" s="52">
        <f>C30+1770</f>
        <v>5310</v>
      </c>
      <c r="G30" s="52">
        <f>F30+1770</f>
        <v>7080</v>
      </c>
      <c r="H30" s="52">
        <f t="shared" ref="H30:J30" si="12">G30+1770</f>
        <v>8850</v>
      </c>
      <c r="I30" s="52">
        <f t="shared" si="12"/>
        <v>10620</v>
      </c>
      <c r="J30" s="52">
        <f t="shared" si="12"/>
        <v>12390</v>
      </c>
      <c r="K30" s="85"/>
      <c r="L30" s="85"/>
      <c r="M30" s="71">
        <f>J30+1770</f>
        <v>14160</v>
      </c>
      <c r="N30" s="71">
        <f>M30+1770</f>
        <v>15930</v>
      </c>
      <c r="O30" s="71">
        <f t="shared" ref="O30:Q30" si="13">N30+1770</f>
        <v>17700</v>
      </c>
      <c r="P30" s="71">
        <f t="shared" si="13"/>
        <v>19470</v>
      </c>
      <c r="Q30" s="71">
        <f t="shared" si="13"/>
        <v>21240</v>
      </c>
      <c r="R30" s="85"/>
      <c r="S30" s="85"/>
      <c r="T30" s="71">
        <f>Q30+1770</f>
        <v>23010</v>
      </c>
      <c r="U30" s="71">
        <f>T30+1770</f>
        <v>24780</v>
      </c>
      <c r="V30" s="71">
        <f t="shared" ref="V30:X30" si="14">U30+1770</f>
        <v>26550</v>
      </c>
      <c r="W30" s="71">
        <f t="shared" si="14"/>
        <v>28320</v>
      </c>
      <c r="X30" s="71">
        <f t="shared" si="14"/>
        <v>30090</v>
      </c>
      <c r="Y30" s="85"/>
      <c r="Z30" s="85"/>
      <c r="AA30" s="71">
        <f>X30+1770</f>
        <v>31860</v>
      </c>
      <c r="AB30" s="71">
        <f>AA30+1770</f>
        <v>33630</v>
      </c>
      <c r="AC30" s="71">
        <f>AB30+1770</f>
        <v>35400</v>
      </c>
      <c r="AD30" s="32"/>
    </row>
    <row r="31" spans="1:30" x14ac:dyDescent="0.25">
      <c r="A31" s="19" t="s">
        <v>2</v>
      </c>
      <c r="B31" s="4">
        <f>B29/B30</f>
        <v>0.20225988700564973</v>
      </c>
      <c r="C31" s="4">
        <f t="shared" ref="C31:AC31" si="15">C29/C30</f>
        <v>0.86045197740113</v>
      </c>
      <c r="D31" s="15"/>
      <c r="E31" s="15"/>
      <c r="F31" s="4">
        <f t="shared" si="15"/>
        <v>0.68775894538606408</v>
      </c>
      <c r="G31" s="4">
        <f t="shared" si="15"/>
        <v>0.69689265536723166</v>
      </c>
      <c r="H31" s="4">
        <f t="shared" si="15"/>
        <v>0.65751412429378531</v>
      </c>
      <c r="I31" s="4">
        <f t="shared" si="15"/>
        <v>0.88069679849340865</v>
      </c>
      <c r="J31" s="4">
        <f t="shared" si="15"/>
        <v>0.93623890234059726</v>
      </c>
      <c r="K31" s="15"/>
      <c r="L31" s="15"/>
      <c r="M31" s="4">
        <f t="shared" si="15"/>
        <v>0.85063559322033899</v>
      </c>
      <c r="N31" s="4">
        <f t="shared" si="15"/>
        <v>0.86038920276208408</v>
      </c>
      <c r="O31" s="4">
        <f t="shared" si="15"/>
        <v>0.86531073446327689</v>
      </c>
      <c r="P31" s="4">
        <f t="shared" si="15"/>
        <v>0.84735490498202359</v>
      </c>
      <c r="Q31" s="4">
        <f t="shared" si="15"/>
        <v>0.77909604519774012</v>
      </c>
      <c r="R31" s="15"/>
      <c r="S31" s="15"/>
      <c r="T31" s="4">
        <f t="shared" si="15"/>
        <v>0.7191655801825293</v>
      </c>
      <c r="U31" s="4">
        <f t="shared" si="15"/>
        <v>0.70286521388216305</v>
      </c>
      <c r="V31" s="4">
        <f t="shared" si="15"/>
        <v>0.68071563088512244</v>
      </c>
      <c r="W31" s="4">
        <f t="shared" si="15"/>
        <v>0.67062146892655372</v>
      </c>
      <c r="X31" s="4">
        <f t="shared" si="15"/>
        <v>0.66829511465603186</v>
      </c>
      <c r="Y31" s="15"/>
      <c r="Z31" s="15"/>
      <c r="AA31" s="4">
        <f t="shared" si="15"/>
        <v>0.64522912743251726</v>
      </c>
      <c r="AB31" s="4">
        <f t="shared" si="15"/>
        <v>0.74876598275349393</v>
      </c>
      <c r="AC31" s="4">
        <f t="shared" si="15"/>
        <v>0.7892655367231638</v>
      </c>
      <c r="AD31" s="32"/>
    </row>
    <row r="32" spans="1:30" ht="15.75" thickBot="1" x14ac:dyDescent="0.3">
      <c r="A32" s="20"/>
      <c r="B32" s="7"/>
      <c r="C32" s="7"/>
      <c r="D32" s="16"/>
      <c r="E32" s="88"/>
      <c r="F32" s="26"/>
      <c r="G32" s="7"/>
      <c r="H32" s="7"/>
      <c r="I32" s="7"/>
      <c r="J32" s="72"/>
      <c r="K32" s="90"/>
      <c r="L32" s="16"/>
      <c r="M32" s="7"/>
      <c r="N32" s="7"/>
      <c r="O32" s="7"/>
      <c r="P32" s="7"/>
      <c r="Q32" s="72"/>
      <c r="R32" s="90"/>
      <c r="S32" s="16"/>
      <c r="T32" s="7"/>
      <c r="U32" s="7"/>
      <c r="V32" s="7"/>
      <c r="W32" s="7"/>
      <c r="X32" s="72"/>
      <c r="Y32" s="90"/>
      <c r="Z32" s="16"/>
      <c r="AA32" s="82"/>
      <c r="AB32" s="82"/>
      <c r="AC32" s="7"/>
      <c r="AD32" s="32"/>
    </row>
    <row r="33" spans="1:30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</row>
    <row r="34" spans="1:30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</row>
    <row r="35" spans="1:30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32"/>
    </row>
    <row r="36" spans="1:30" x14ac:dyDescent="0.25">
      <c r="A36" s="19" t="s">
        <v>8</v>
      </c>
      <c r="B36" s="56">
        <v>2240</v>
      </c>
      <c r="C36" s="56">
        <v>5507</v>
      </c>
      <c r="D36" s="60"/>
      <c r="E36" s="60"/>
      <c r="F36" s="56">
        <v>8033</v>
      </c>
      <c r="G36" s="56">
        <v>10294</v>
      </c>
      <c r="H36" s="56">
        <v>12296</v>
      </c>
      <c r="I36" s="56">
        <v>15184</v>
      </c>
      <c r="J36" s="68">
        <v>19525</v>
      </c>
      <c r="K36" s="89"/>
      <c r="L36" s="60"/>
      <c r="M36" s="56">
        <v>22821</v>
      </c>
      <c r="N36" s="56">
        <v>26029</v>
      </c>
      <c r="O36" s="56">
        <v>28937</v>
      </c>
      <c r="P36" s="56">
        <v>33730</v>
      </c>
      <c r="Q36" s="68">
        <v>36899</v>
      </c>
      <c r="R36" s="89"/>
      <c r="S36" s="60"/>
      <c r="T36" s="56">
        <v>38855</v>
      </c>
      <c r="U36" s="56">
        <v>41006</v>
      </c>
      <c r="V36" s="56">
        <v>43322</v>
      </c>
      <c r="W36" s="56">
        <v>45188</v>
      </c>
      <c r="X36" s="68">
        <v>48412</v>
      </c>
      <c r="Y36" s="89"/>
      <c r="Z36" s="60"/>
      <c r="AA36" s="80">
        <v>50572</v>
      </c>
      <c r="AB36" s="80">
        <v>53887</v>
      </c>
      <c r="AC36" s="120">
        <v>58609</v>
      </c>
      <c r="AD36" s="32"/>
    </row>
    <row r="37" spans="1:30" x14ac:dyDescent="0.25">
      <c r="A37" s="19" t="s">
        <v>1</v>
      </c>
      <c r="B37" s="52">
        <v>3262</v>
      </c>
      <c r="C37" s="52">
        <f>B37+3262</f>
        <v>6524</v>
      </c>
      <c r="D37" s="63"/>
      <c r="E37" s="63"/>
      <c r="F37" s="52">
        <f>C37+3262</f>
        <v>9786</v>
      </c>
      <c r="G37" s="52">
        <f>F37+3262</f>
        <v>13048</v>
      </c>
      <c r="H37" s="52">
        <f t="shared" ref="H37:J37" si="16">G37+3262</f>
        <v>16310</v>
      </c>
      <c r="I37" s="52">
        <f t="shared" si="16"/>
        <v>19572</v>
      </c>
      <c r="J37" s="52">
        <f t="shared" si="16"/>
        <v>22834</v>
      </c>
      <c r="K37" s="85"/>
      <c r="L37" s="85"/>
      <c r="M37" s="71">
        <f>J37+3262</f>
        <v>26096</v>
      </c>
      <c r="N37" s="71">
        <f>M37+3262</f>
        <v>29358</v>
      </c>
      <c r="O37" s="71">
        <f t="shared" ref="O37:Q37" si="17">N37+3262</f>
        <v>32620</v>
      </c>
      <c r="P37" s="71">
        <f t="shared" si="17"/>
        <v>35882</v>
      </c>
      <c r="Q37" s="71">
        <f t="shared" si="17"/>
        <v>39144</v>
      </c>
      <c r="R37" s="85"/>
      <c r="S37" s="85"/>
      <c r="T37" s="71">
        <f>Q37+3262</f>
        <v>42406</v>
      </c>
      <c r="U37" s="71">
        <f>T37+3262</f>
        <v>45668</v>
      </c>
      <c r="V37" s="71">
        <f t="shared" ref="V37:X37" si="18">U37+3262</f>
        <v>48930</v>
      </c>
      <c r="W37" s="71">
        <f t="shared" si="18"/>
        <v>52192</v>
      </c>
      <c r="X37" s="71">
        <f t="shared" si="18"/>
        <v>55454</v>
      </c>
      <c r="Y37" s="85"/>
      <c r="Z37" s="85"/>
      <c r="AA37" s="71">
        <f>X37+3262</f>
        <v>58716</v>
      </c>
      <c r="AB37" s="71">
        <f>AA37+3262</f>
        <v>61978</v>
      </c>
      <c r="AC37" s="71">
        <f>AB37+3262</f>
        <v>65240</v>
      </c>
      <c r="AD37" s="32"/>
    </row>
    <row r="38" spans="1:30" x14ac:dyDescent="0.25">
      <c r="A38" s="19" t="s">
        <v>2</v>
      </c>
      <c r="B38" s="4">
        <f>B36/B37</f>
        <v>0.68669527896995708</v>
      </c>
      <c r="C38" s="4">
        <f t="shared" ref="C38:AC38" si="19">C36/C37</f>
        <v>0.84411404046597183</v>
      </c>
      <c r="D38" s="15"/>
      <c r="E38" s="15"/>
      <c r="F38" s="4">
        <f t="shared" si="19"/>
        <v>0.82086654404250969</v>
      </c>
      <c r="G38" s="4">
        <f t="shared" si="19"/>
        <v>0.78893316983445738</v>
      </c>
      <c r="H38" s="4">
        <f t="shared" si="19"/>
        <v>0.75389331698344575</v>
      </c>
      <c r="I38" s="4">
        <f t="shared" si="19"/>
        <v>0.77580216636010624</v>
      </c>
      <c r="J38" s="4">
        <f t="shared" si="19"/>
        <v>0.85508452307961813</v>
      </c>
      <c r="K38" s="15"/>
      <c r="L38" s="15"/>
      <c r="M38" s="4">
        <f t="shared" si="19"/>
        <v>0.87450183936235437</v>
      </c>
      <c r="N38" s="4">
        <f t="shared" si="19"/>
        <v>0.88660671707882011</v>
      </c>
      <c r="O38" s="4">
        <f t="shared" si="19"/>
        <v>0.8870938074800736</v>
      </c>
      <c r="P38" s="4">
        <f t="shared" si="19"/>
        <v>0.94002563959645502</v>
      </c>
      <c r="Q38" s="4">
        <f t="shared" si="19"/>
        <v>0.94264765992233801</v>
      </c>
      <c r="R38" s="15"/>
      <c r="S38" s="15"/>
      <c r="T38" s="4">
        <f t="shared" si="19"/>
        <v>0.91626184973824454</v>
      </c>
      <c r="U38" s="4">
        <f t="shared" si="19"/>
        <v>0.89791538933169834</v>
      </c>
      <c r="V38" s="4">
        <f t="shared" si="19"/>
        <v>0.8853872879623953</v>
      </c>
      <c r="W38" s="4">
        <f t="shared" si="19"/>
        <v>0.86580318822808089</v>
      </c>
      <c r="X38" s="4">
        <f t="shared" si="19"/>
        <v>0.87301186569048217</v>
      </c>
      <c r="Y38" s="15"/>
      <c r="Z38" s="15"/>
      <c r="AA38" s="4">
        <f t="shared" si="19"/>
        <v>0.86129845357313173</v>
      </c>
      <c r="AB38" s="4">
        <f t="shared" si="19"/>
        <v>0.869453677111233</v>
      </c>
      <c r="AC38" s="4">
        <f t="shared" si="19"/>
        <v>0.89835990190067438</v>
      </c>
      <c r="AD38" s="32"/>
    </row>
    <row r="39" spans="1:30" ht="15.75" thickBot="1" x14ac:dyDescent="0.3">
      <c r="A39" s="20"/>
      <c r="B39" s="7"/>
      <c r="C39" s="7"/>
      <c r="D39" s="16"/>
      <c r="E39" s="88"/>
      <c r="F39" s="26"/>
      <c r="G39" s="7"/>
      <c r="H39" s="7"/>
      <c r="I39" s="7"/>
      <c r="J39" s="72"/>
      <c r="K39" s="90"/>
      <c r="L39" s="16"/>
      <c r="M39" s="7"/>
      <c r="N39" s="7"/>
      <c r="O39" s="7"/>
      <c r="P39" s="7"/>
      <c r="Q39" s="72"/>
      <c r="R39" s="90"/>
      <c r="S39" s="16"/>
      <c r="T39" s="7"/>
      <c r="U39" s="7"/>
      <c r="V39" s="7"/>
      <c r="W39" s="7"/>
      <c r="X39" s="72"/>
      <c r="Y39" s="90"/>
      <c r="Z39" s="16"/>
      <c r="AA39" s="82"/>
      <c r="AB39" s="82"/>
      <c r="AC39" s="7"/>
      <c r="AD39" s="32"/>
    </row>
    <row r="40" spans="1:30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</row>
    <row r="41" spans="1:30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</row>
    <row r="42" spans="1:30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32"/>
    </row>
    <row r="43" spans="1:30" x14ac:dyDescent="0.25">
      <c r="A43" s="19" t="s">
        <v>8</v>
      </c>
      <c r="B43" s="56">
        <v>835</v>
      </c>
      <c r="C43" s="56">
        <v>1469</v>
      </c>
      <c r="D43" s="60"/>
      <c r="E43" s="60"/>
      <c r="F43" s="56">
        <v>1868</v>
      </c>
      <c r="G43" s="56">
        <v>2218</v>
      </c>
      <c r="H43" s="56">
        <v>2367</v>
      </c>
      <c r="I43" s="56">
        <v>3234</v>
      </c>
      <c r="J43" s="68">
        <v>4379</v>
      </c>
      <c r="K43" s="89"/>
      <c r="L43" s="60"/>
      <c r="M43" s="56">
        <v>5097</v>
      </c>
      <c r="N43" s="56">
        <v>5692</v>
      </c>
      <c r="O43" s="56">
        <v>6547</v>
      </c>
      <c r="P43" s="56">
        <v>7046</v>
      </c>
      <c r="Q43" s="68">
        <v>8774</v>
      </c>
      <c r="R43" s="89"/>
      <c r="S43" s="60"/>
      <c r="T43" s="56">
        <v>9518</v>
      </c>
      <c r="U43" s="56">
        <v>11717</v>
      </c>
      <c r="V43" s="56">
        <v>12350</v>
      </c>
      <c r="W43" s="56">
        <v>12552</v>
      </c>
      <c r="X43" s="68">
        <v>12854</v>
      </c>
      <c r="Y43" s="89"/>
      <c r="Z43" s="60"/>
      <c r="AA43" s="80">
        <v>13511</v>
      </c>
      <c r="AB43" s="80">
        <v>14115</v>
      </c>
      <c r="AC43" s="120">
        <v>14144</v>
      </c>
      <c r="AD43" s="32"/>
    </row>
    <row r="44" spans="1:30" x14ac:dyDescent="0.25">
      <c r="A44" s="19" t="s">
        <v>1</v>
      </c>
      <c r="B44" s="52">
        <v>731</v>
      </c>
      <c r="C44" s="52">
        <f>B44+731</f>
        <v>1462</v>
      </c>
      <c r="D44" s="63"/>
      <c r="E44" s="63"/>
      <c r="F44" s="52">
        <f>C44+731</f>
        <v>2193</v>
      </c>
      <c r="G44" s="52">
        <f>F44+731</f>
        <v>2924</v>
      </c>
      <c r="H44" s="52">
        <f t="shared" ref="H44:J44" si="20">G44+731</f>
        <v>3655</v>
      </c>
      <c r="I44" s="52">
        <f t="shared" si="20"/>
        <v>4386</v>
      </c>
      <c r="J44" s="52">
        <f t="shared" si="20"/>
        <v>5117</v>
      </c>
      <c r="K44" s="85"/>
      <c r="L44" s="85"/>
      <c r="M44" s="71">
        <f>J44+731</f>
        <v>5848</v>
      </c>
      <c r="N44" s="71">
        <f>M44+731</f>
        <v>6579</v>
      </c>
      <c r="O44" s="71">
        <f t="shared" ref="O44:Q44" si="21">N44+731</f>
        <v>7310</v>
      </c>
      <c r="P44" s="71">
        <f t="shared" si="21"/>
        <v>8041</v>
      </c>
      <c r="Q44" s="71">
        <f t="shared" si="21"/>
        <v>8772</v>
      </c>
      <c r="R44" s="85"/>
      <c r="S44" s="85"/>
      <c r="T44" s="71">
        <f>Q44+731</f>
        <v>9503</v>
      </c>
      <c r="U44" s="71">
        <f>T44+731</f>
        <v>10234</v>
      </c>
      <c r="V44" s="71">
        <f t="shared" ref="V44:X44" si="22">U44+731</f>
        <v>10965</v>
      </c>
      <c r="W44" s="71">
        <f t="shared" si="22"/>
        <v>11696</v>
      </c>
      <c r="X44" s="71">
        <f t="shared" si="22"/>
        <v>12427</v>
      </c>
      <c r="Y44" s="85"/>
      <c r="Z44" s="85"/>
      <c r="AA44" s="71">
        <f>X44+731</f>
        <v>13158</v>
      </c>
      <c r="AB44" s="71">
        <f>AA44+731</f>
        <v>13889</v>
      </c>
      <c r="AC44" s="71">
        <f>AB44+731</f>
        <v>14620</v>
      </c>
      <c r="AD44" s="32"/>
    </row>
    <row r="45" spans="1:30" x14ac:dyDescent="0.25">
      <c r="A45" s="19" t="s">
        <v>2</v>
      </c>
      <c r="B45" s="4">
        <f>B43/B44</f>
        <v>1.1422708618331054</v>
      </c>
      <c r="C45" s="4">
        <f t="shared" ref="C45:AC45" si="23">C43/C44</f>
        <v>1.0047879616963065</v>
      </c>
      <c r="D45" s="15"/>
      <c r="E45" s="15"/>
      <c r="F45" s="4">
        <f t="shared" si="23"/>
        <v>0.85180118559051532</v>
      </c>
      <c r="G45" s="4">
        <f t="shared" si="23"/>
        <v>0.75854993160054718</v>
      </c>
      <c r="H45" s="4">
        <f t="shared" si="23"/>
        <v>0.64760601915184679</v>
      </c>
      <c r="I45" s="4">
        <f t="shared" si="23"/>
        <v>0.73734610123119015</v>
      </c>
      <c r="J45" s="4">
        <f t="shared" si="23"/>
        <v>0.85577486808676961</v>
      </c>
      <c r="K45" s="15"/>
      <c r="L45" s="15"/>
      <c r="M45" s="4">
        <f t="shared" si="23"/>
        <v>0.87158002735978113</v>
      </c>
      <c r="N45" s="4">
        <f t="shared" si="23"/>
        <v>0.86517707858337134</v>
      </c>
      <c r="O45" s="4">
        <f t="shared" si="23"/>
        <v>0.89562243502051986</v>
      </c>
      <c r="P45" s="4">
        <f t="shared" si="23"/>
        <v>0.87625917174480783</v>
      </c>
      <c r="Q45" s="4">
        <f t="shared" si="23"/>
        <v>1.0002279981760145</v>
      </c>
      <c r="R45" s="15"/>
      <c r="S45" s="15"/>
      <c r="T45" s="4">
        <f t="shared" si="23"/>
        <v>1.0015784489108703</v>
      </c>
      <c r="U45" s="4">
        <f t="shared" si="23"/>
        <v>1.1449091264412743</v>
      </c>
      <c r="V45" s="4">
        <f t="shared" si="23"/>
        <v>1.126310989512084</v>
      </c>
      <c r="W45" s="4">
        <f t="shared" si="23"/>
        <v>1.0731874145006839</v>
      </c>
      <c r="X45" s="4">
        <f t="shared" si="23"/>
        <v>1.0343606662911402</v>
      </c>
      <c r="Y45" s="15"/>
      <c r="Z45" s="15"/>
      <c r="AA45" s="4">
        <f t="shared" si="23"/>
        <v>1.026827785377717</v>
      </c>
      <c r="AB45" s="4">
        <f t="shared" si="23"/>
        <v>1.0162718698250415</v>
      </c>
      <c r="AC45" s="4">
        <f t="shared" si="23"/>
        <v>0.96744186046511627</v>
      </c>
      <c r="AD45" s="32"/>
    </row>
    <row r="46" spans="1:30" ht="15.75" thickBot="1" x14ac:dyDescent="0.3">
      <c r="A46" s="20"/>
      <c r="B46" s="7"/>
      <c r="C46" s="7"/>
      <c r="D46" s="16"/>
      <c r="E46" s="88"/>
      <c r="F46" s="26"/>
      <c r="G46" s="7"/>
      <c r="H46" s="7"/>
      <c r="I46" s="7"/>
      <c r="J46" s="72"/>
      <c r="K46" s="90"/>
      <c r="L46" s="16"/>
      <c r="M46" s="7"/>
      <c r="N46" s="7"/>
      <c r="O46" s="7"/>
      <c r="P46" s="7"/>
      <c r="Q46" s="72"/>
      <c r="R46" s="90"/>
      <c r="S46" s="16"/>
      <c r="T46" s="7"/>
      <c r="U46" s="7"/>
      <c r="V46" s="7"/>
      <c r="W46" s="7"/>
      <c r="X46" s="72"/>
      <c r="Y46" s="90"/>
      <c r="Z46" s="16"/>
      <c r="AA46" s="82"/>
      <c r="AB46" s="82"/>
      <c r="AC46" s="7"/>
      <c r="AD46" s="32"/>
    </row>
    <row r="47" spans="1:30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</row>
    <row r="48" spans="1:30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32"/>
    </row>
    <row r="49" spans="1:30" x14ac:dyDescent="0.25">
      <c r="A49" s="19" t="s">
        <v>8</v>
      </c>
      <c r="B49" s="56">
        <v>726</v>
      </c>
      <c r="C49" s="56">
        <v>1857</v>
      </c>
      <c r="D49" s="60"/>
      <c r="E49" s="60"/>
      <c r="F49" s="56">
        <v>1918</v>
      </c>
      <c r="G49" s="56">
        <v>2301</v>
      </c>
      <c r="H49" s="56">
        <v>3250</v>
      </c>
      <c r="I49" s="56">
        <v>4003</v>
      </c>
      <c r="J49" s="68">
        <v>4659</v>
      </c>
      <c r="K49" s="89"/>
      <c r="L49" s="60"/>
      <c r="M49" s="56">
        <v>5166</v>
      </c>
      <c r="N49" s="56">
        <v>5430</v>
      </c>
      <c r="O49" s="56">
        <v>5531</v>
      </c>
      <c r="P49" s="56">
        <v>6294</v>
      </c>
      <c r="Q49" s="68">
        <v>6619</v>
      </c>
      <c r="R49" s="89"/>
      <c r="S49" s="60"/>
      <c r="T49" s="56">
        <v>6619</v>
      </c>
      <c r="U49" s="56">
        <v>7014</v>
      </c>
      <c r="V49" s="56">
        <v>7273</v>
      </c>
      <c r="W49" s="56">
        <v>7521</v>
      </c>
      <c r="X49" s="68">
        <v>7997.76</v>
      </c>
      <c r="Y49" s="89"/>
      <c r="Z49" s="60"/>
      <c r="AA49" s="80">
        <v>8478</v>
      </c>
      <c r="AB49" s="80">
        <v>9901</v>
      </c>
      <c r="AC49" s="120">
        <v>10454</v>
      </c>
      <c r="AD49" s="32"/>
    </row>
    <row r="50" spans="1:30" x14ac:dyDescent="0.25">
      <c r="A50" s="19" t="s">
        <v>1</v>
      </c>
      <c r="B50" s="52">
        <v>515</v>
      </c>
      <c r="C50" s="52">
        <f>B50+515</f>
        <v>1030</v>
      </c>
      <c r="D50" s="63"/>
      <c r="E50" s="63"/>
      <c r="F50" s="52">
        <f>C50+515</f>
        <v>1545</v>
      </c>
      <c r="G50" s="52">
        <f>F50+515</f>
        <v>2060</v>
      </c>
      <c r="H50" s="52">
        <f>G50+515</f>
        <v>2575</v>
      </c>
      <c r="I50" s="52">
        <f t="shared" ref="I50:J50" si="24">H50+515</f>
        <v>3090</v>
      </c>
      <c r="J50" s="52">
        <f t="shared" si="24"/>
        <v>3605</v>
      </c>
      <c r="K50" s="85"/>
      <c r="L50" s="85"/>
      <c r="M50" s="71">
        <f>J50+515</f>
        <v>4120</v>
      </c>
      <c r="N50" s="71">
        <f>M50+515</f>
        <v>4635</v>
      </c>
      <c r="O50" s="71">
        <f t="shared" ref="O50:Q50" si="25">N50+515</f>
        <v>5150</v>
      </c>
      <c r="P50" s="71">
        <f t="shared" si="25"/>
        <v>5665</v>
      </c>
      <c r="Q50" s="71">
        <f t="shared" si="25"/>
        <v>6180</v>
      </c>
      <c r="R50" s="85"/>
      <c r="S50" s="85"/>
      <c r="T50" s="71">
        <f>Q50+515</f>
        <v>6695</v>
      </c>
      <c r="U50" s="71">
        <f>T50+515</f>
        <v>7210</v>
      </c>
      <c r="V50" s="71">
        <f t="shared" ref="V50:X50" si="26">U50+515</f>
        <v>7725</v>
      </c>
      <c r="W50" s="71">
        <f t="shared" si="26"/>
        <v>8240</v>
      </c>
      <c r="X50" s="71">
        <f t="shared" si="26"/>
        <v>8755</v>
      </c>
      <c r="Y50" s="85"/>
      <c r="Z50" s="85"/>
      <c r="AA50" s="71">
        <f>X50+515</f>
        <v>9270</v>
      </c>
      <c r="AB50" s="71">
        <f>AA50+515</f>
        <v>9785</v>
      </c>
      <c r="AC50" s="71">
        <f>AB50+515</f>
        <v>10300</v>
      </c>
      <c r="AD50" s="32"/>
    </row>
    <row r="51" spans="1:30" x14ac:dyDescent="0.25">
      <c r="A51" s="19" t="s">
        <v>2</v>
      </c>
      <c r="B51" s="4">
        <f>B49/B50</f>
        <v>1.4097087378640776</v>
      </c>
      <c r="C51" s="4">
        <f t="shared" ref="C51:AC51" si="27">C49/C50</f>
        <v>1.8029126213592233</v>
      </c>
      <c r="D51" s="15"/>
      <c r="E51" s="15"/>
      <c r="F51" s="4">
        <f t="shared" si="27"/>
        <v>1.2414239482200646</v>
      </c>
      <c r="G51" s="4">
        <f t="shared" si="27"/>
        <v>1.1169902912621359</v>
      </c>
      <c r="H51" s="4">
        <f t="shared" si="27"/>
        <v>1.2621359223300972</v>
      </c>
      <c r="I51" s="4">
        <f t="shared" si="27"/>
        <v>1.2954692556634304</v>
      </c>
      <c r="J51" s="4">
        <f t="shared" si="27"/>
        <v>1.292371705963939</v>
      </c>
      <c r="K51" s="15"/>
      <c r="L51" s="15"/>
      <c r="M51" s="4">
        <f t="shared" si="27"/>
        <v>1.253883495145631</v>
      </c>
      <c r="N51" s="4">
        <f t="shared" si="27"/>
        <v>1.1715210355987056</v>
      </c>
      <c r="O51" s="4">
        <f t="shared" si="27"/>
        <v>1.0739805825242719</v>
      </c>
      <c r="P51" s="4">
        <f t="shared" si="27"/>
        <v>1.1110326566637245</v>
      </c>
      <c r="Q51" s="4">
        <f t="shared" si="27"/>
        <v>1.0710355987055016</v>
      </c>
      <c r="R51" s="15"/>
      <c r="S51" s="15"/>
      <c r="T51" s="4">
        <f t="shared" si="27"/>
        <v>0.98864824495892456</v>
      </c>
      <c r="U51" s="4">
        <f t="shared" si="27"/>
        <v>0.97281553398058251</v>
      </c>
      <c r="V51" s="4">
        <f t="shared" si="27"/>
        <v>0.94148867313915863</v>
      </c>
      <c r="W51" s="4">
        <f t="shared" si="27"/>
        <v>0.91274271844660193</v>
      </c>
      <c r="X51" s="4">
        <f t="shared" si="27"/>
        <v>0.91350770988006857</v>
      </c>
      <c r="Y51" s="15"/>
      <c r="Z51" s="15"/>
      <c r="AA51" s="4">
        <f t="shared" si="27"/>
        <v>0.91456310679611652</v>
      </c>
      <c r="AB51" s="4">
        <f t="shared" si="27"/>
        <v>1.0118548799182423</v>
      </c>
      <c r="AC51" s="4">
        <f t="shared" si="27"/>
        <v>1.0149514563106796</v>
      </c>
      <c r="AD51" s="32"/>
    </row>
    <row r="52" spans="1:30" ht="15.75" thickBot="1" x14ac:dyDescent="0.3">
      <c r="A52" s="20"/>
      <c r="B52" s="7"/>
      <c r="C52" s="7"/>
      <c r="D52" s="16"/>
      <c r="E52" s="88"/>
      <c r="F52" s="26"/>
      <c r="G52" s="7"/>
      <c r="H52" s="7"/>
      <c r="I52" s="7"/>
      <c r="J52" s="72"/>
      <c r="K52" s="90"/>
      <c r="L52" s="16"/>
      <c r="M52" s="7"/>
      <c r="N52" s="7"/>
      <c r="O52" s="7"/>
      <c r="P52" s="7"/>
      <c r="Q52" s="72"/>
      <c r="R52" s="90"/>
      <c r="S52" s="16"/>
      <c r="T52" s="7"/>
      <c r="U52" s="7"/>
      <c r="V52" s="7"/>
      <c r="W52" s="7"/>
      <c r="X52" s="72"/>
      <c r="Y52" s="90"/>
      <c r="Z52" s="16"/>
      <c r="AA52" s="82"/>
      <c r="AB52" s="82"/>
      <c r="AC52" s="7"/>
      <c r="AD52" s="32"/>
    </row>
    <row r="53" spans="1:30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</row>
    <row r="54" spans="1:30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</row>
    <row r="55" spans="1:30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32"/>
    </row>
    <row r="56" spans="1:30" x14ac:dyDescent="0.25">
      <c r="A56" s="19" t="s">
        <v>8</v>
      </c>
      <c r="B56" s="56">
        <v>3641</v>
      </c>
      <c r="C56" s="56">
        <v>5231</v>
      </c>
      <c r="D56" s="60"/>
      <c r="E56" s="60"/>
      <c r="F56" s="56">
        <v>5764</v>
      </c>
      <c r="G56" s="56">
        <v>8701</v>
      </c>
      <c r="H56" s="56">
        <v>10894</v>
      </c>
      <c r="I56" s="56">
        <v>11516</v>
      </c>
      <c r="J56" s="68">
        <v>13696</v>
      </c>
      <c r="K56" s="89"/>
      <c r="L56" s="60"/>
      <c r="M56" s="56">
        <v>17359</v>
      </c>
      <c r="N56" s="56">
        <v>18768</v>
      </c>
      <c r="O56" s="56">
        <v>20252</v>
      </c>
      <c r="P56" s="56">
        <v>23997</v>
      </c>
      <c r="Q56" s="68">
        <v>25519</v>
      </c>
      <c r="R56" s="89"/>
      <c r="S56" s="60"/>
      <c r="T56" s="56">
        <v>26352</v>
      </c>
      <c r="U56" s="56">
        <v>28735</v>
      </c>
      <c r="V56" s="56">
        <v>30405</v>
      </c>
      <c r="W56" s="56">
        <v>35907</v>
      </c>
      <c r="X56" s="68">
        <v>38748.71</v>
      </c>
      <c r="Y56" s="89"/>
      <c r="Z56" s="60"/>
      <c r="AA56" s="80">
        <v>38909</v>
      </c>
      <c r="AB56" s="80">
        <v>42238</v>
      </c>
      <c r="AC56" s="120">
        <v>42203</v>
      </c>
      <c r="AD56" s="32"/>
    </row>
    <row r="57" spans="1:30" x14ac:dyDescent="0.25">
      <c r="A57" s="19" t="s">
        <v>1</v>
      </c>
      <c r="B57" s="52">
        <v>2004</v>
      </c>
      <c r="C57" s="52">
        <f>B57+2004</f>
        <v>4008</v>
      </c>
      <c r="D57" s="63"/>
      <c r="E57" s="63"/>
      <c r="F57" s="52">
        <f>C57+2004</f>
        <v>6012</v>
      </c>
      <c r="G57" s="52">
        <f>F57+2004</f>
        <v>8016</v>
      </c>
      <c r="H57" s="52">
        <f t="shared" ref="H57:J57" si="28">G57+2004</f>
        <v>10020</v>
      </c>
      <c r="I57" s="52">
        <f t="shared" si="28"/>
        <v>12024</v>
      </c>
      <c r="J57" s="52">
        <f t="shared" si="28"/>
        <v>14028</v>
      </c>
      <c r="K57" s="85"/>
      <c r="L57" s="85"/>
      <c r="M57" s="71">
        <f>J57+2004</f>
        <v>16032</v>
      </c>
      <c r="N57" s="71">
        <f>M57+2004</f>
        <v>18036</v>
      </c>
      <c r="O57" s="71">
        <f t="shared" ref="O57:Q57" si="29">N57+2004</f>
        <v>20040</v>
      </c>
      <c r="P57" s="71">
        <f t="shared" si="29"/>
        <v>22044</v>
      </c>
      <c r="Q57" s="71">
        <f t="shared" si="29"/>
        <v>24048</v>
      </c>
      <c r="R57" s="85"/>
      <c r="S57" s="85"/>
      <c r="T57" s="71">
        <f>Q57+2004</f>
        <v>26052</v>
      </c>
      <c r="U57" s="71">
        <f>T57+2004</f>
        <v>28056</v>
      </c>
      <c r="V57" s="71">
        <f t="shared" ref="V57:X57" si="30">U57+2004</f>
        <v>30060</v>
      </c>
      <c r="W57" s="71">
        <f t="shared" si="30"/>
        <v>32064</v>
      </c>
      <c r="X57" s="71">
        <f t="shared" si="30"/>
        <v>34068</v>
      </c>
      <c r="Y57" s="85"/>
      <c r="Z57" s="85"/>
      <c r="AA57" s="71">
        <f>X57+2004</f>
        <v>36072</v>
      </c>
      <c r="AB57" s="71">
        <f>AA57+2004</f>
        <v>38076</v>
      </c>
      <c r="AC57" s="71">
        <f>AB57+2004</f>
        <v>40080</v>
      </c>
      <c r="AD57" s="32"/>
    </row>
    <row r="58" spans="1:30" x14ac:dyDescent="0.25">
      <c r="A58" s="19" t="s">
        <v>2</v>
      </c>
      <c r="B58" s="4">
        <f>B56/B57</f>
        <v>1.81686626746507</v>
      </c>
      <c r="C58" s="4">
        <f t="shared" ref="C58:AC58" si="31">C56/C57</f>
        <v>1.3051397205588822</v>
      </c>
      <c r="D58" s="15"/>
      <c r="E58" s="15"/>
      <c r="F58" s="4">
        <f t="shared" si="31"/>
        <v>0.95874916833000667</v>
      </c>
      <c r="G58" s="4">
        <f t="shared" si="31"/>
        <v>1.0854540918163673</v>
      </c>
      <c r="H58" s="4">
        <f t="shared" si="31"/>
        <v>1.0872255489021956</v>
      </c>
      <c r="I58" s="4">
        <f t="shared" si="31"/>
        <v>0.95775116433799068</v>
      </c>
      <c r="J58" s="4">
        <f t="shared" si="31"/>
        <v>0.97633304818933564</v>
      </c>
      <c r="K58" s="15"/>
      <c r="L58" s="15"/>
      <c r="M58" s="4">
        <f t="shared" si="31"/>
        <v>1.0827719560878244</v>
      </c>
      <c r="N58" s="4">
        <f t="shared" si="31"/>
        <v>1.040585495675316</v>
      </c>
      <c r="O58" s="4">
        <f t="shared" si="31"/>
        <v>1.0105788423153692</v>
      </c>
      <c r="P58" s="4">
        <f t="shared" si="31"/>
        <v>1.0885955362003266</v>
      </c>
      <c r="Q58" s="4">
        <f t="shared" si="31"/>
        <v>1.0611693280106453</v>
      </c>
      <c r="R58" s="15"/>
      <c r="S58" s="15"/>
      <c r="T58" s="4">
        <f t="shared" si="31"/>
        <v>1.0115154306771073</v>
      </c>
      <c r="U58" s="4">
        <f t="shared" si="31"/>
        <v>1.0242015968063871</v>
      </c>
      <c r="V58" s="4">
        <f t="shared" si="31"/>
        <v>1.0114770459081837</v>
      </c>
      <c r="W58" s="4">
        <f t="shared" si="31"/>
        <v>1.1198540419161678</v>
      </c>
      <c r="X58" s="4">
        <f t="shared" si="31"/>
        <v>1.1373931548667371</v>
      </c>
      <c r="Y58" s="15"/>
      <c r="Z58" s="15"/>
      <c r="AA58" s="4">
        <f t="shared" si="31"/>
        <v>1.0786482590374806</v>
      </c>
      <c r="AB58" s="4">
        <f t="shared" si="31"/>
        <v>1.1093077003886962</v>
      </c>
      <c r="AC58" s="4">
        <f t="shared" si="31"/>
        <v>1.0529690618762475</v>
      </c>
      <c r="AD58" s="32"/>
    </row>
    <row r="59" spans="1:30" ht="15.75" thickBot="1" x14ac:dyDescent="0.3">
      <c r="A59" s="20"/>
      <c r="B59" s="7"/>
      <c r="C59" s="7"/>
      <c r="D59" s="16"/>
      <c r="E59" s="88"/>
      <c r="F59" s="26"/>
      <c r="G59" s="7"/>
      <c r="H59" s="7"/>
      <c r="I59" s="7"/>
      <c r="J59" s="72"/>
      <c r="K59" s="90"/>
      <c r="L59" s="16"/>
      <c r="M59" s="7"/>
      <c r="N59" s="7"/>
      <c r="O59" s="7"/>
      <c r="P59" s="7"/>
      <c r="Q59" s="72"/>
      <c r="R59" s="90"/>
      <c r="S59" s="16"/>
      <c r="T59" s="7"/>
      <c r="U59" s="7"/>
      <c r="V59" s="7"/>
      <c r="W59" s="7"/>
      <c r="X59" s="72"/>
      <c r="Y59" s="90"/>
      <c r="Z59" s="16"/>
      <c r="AA59" s="82"/>
      <c r="AB59" s="82"/>
      <c r="AC59" s="7"/>
      <c r="AD59" s="32"/>
    </row>
    <row r="60" spans="1:30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</row>
    <row r="61" spans="1:30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</row>
    <row r="62" spans="1:30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</row>
    <row r="63" spans="1:30" x14ac:dyDescent="0.25">
      <c r="A63" s="19" t="s">
        <v>8</v>
      </c>
      <c r="B63" s="56">
        <v>516</v>
      </c>
      <c r="C63" s="56">
        <v>961</v>
      </c>
      <c r="D63" s="60"/>
      <c r="E63" s="60"/>
      <c r="F63" s="56">
        <v>1509</v>
      </c>
      <c r="G63" s="56">
        <v>2336</v>
      </c>
      <c r="H63" s="56">
        <v>3036</v>
      </c>
      <c r="I63" s="56">
        <v>4038</v>
      </c>
      <c r="J63" s="68">
        <v>4790</v>
      </c>
      <c r="K63" s="89"/>
      <c r="L63" s="60"/>
      <c r="M63" s="56">
        <v>5964</v>
      </c>
      <c r="N63" s="56">
        <v>6260</v>
      </c>
      <c r="O63" s="56">
        <v>7017</v>
      </c>
      <c r="P63" s="56">
        <v>7447</v>
      </c>
      <c r="Q63" s="68">
        <v>8047</v>
      </c>
      <c r="R63" s="89"/>
      <c r="S63" s="60"/>
      <c r="T63" s="56">
        <v>8465</v>
      </c>
      <c r="U63" s="56">
        <v>9183</v>
      </c>
      <c r="V63" s="56">
        <v>10385</v>
      </c>
      <c r="W63" s="56">
        <v>10920</v>
      </c>
      <c r="X63" s="68">
        <v>12549</v>
      </c>
      <c r="Y63" s="89"/>
      <c r="Z63" s="60"/>
      <c r="AA63" s="80">
        <v>13396</v>
      </c>
      <c r="AB63" s="80">
        <v>14267</v>
      </c>
      <c r="AC63" s="120">
        <v>18333</v>
      </c>
    </row>
    <row r="64" spans="1:30" x14ac:dyDescent="0.25">
      <c r="A64" s="19" t="s">
        <v>1</v>
      </c>
      <c r="B64" s="52">
        <v>913</v>
      </c>
      <c r="C64" s="52">
        <f>B64+913</f>
        <v>1826</v>
      </c>
      <c r="D64" s="63"/>
      <c r="E64" s="63"/>
      <c r="F64" s="52">
        <f>C64+913</f>
        <v>2739</v>
      </c>
      <c r="G64" s="52">
        <f>F64+913</f>
        <v>3652</v>
      </c>
      <c r="H64" s="52">
        <f t="shared" ref="H64:J64" si="32">G64+913</f>
        <v>4565</v>
      </c>
      <c r="I64" s="52">
        <f t="shared" si="32"/>
        <v>5478</v>
      </c>
      <c r="J64" s="52">
        <f t="shared" si="32"/>
        <v>6391</v>
      </c>
      <c r="K64" s="85"/>
      <c r="L64" s="85"/>
      <c r="M64" s="71">
        <f>J64+913</f>
        <v>7304</v>
      </c>
      <c r="N64" s="71">
        <f>M64+913</f>
        <v>8217</v>
      </c>
      <c r="O64" s="71">
        <f t="shared" ref="O64:Q64" si="33">N64+913</f>
        <v>9130</v>
      </c>
      <c r="P64" s="71">
        <f t="shared" si="33"/>
        <v>10043</v>
      </c>
      <c r="Q64" s="71">
        <f t="shared" si="33"/>
        <v>10956</v>
      </c>
      <c r="R64" s="85"/>
      <c r="S64" s="85"/>
      <c r="T64" s="71">
        <f>Q64+913</f>
        <v>11869</v>
      </c>
      <c r="U64" s="71">
        <f>T64+913</f>
        <v>12782</v>
      </c>
      <c r="V64" s="71">
        <f t="shared" ref="V64:X64" si="34">U64+913</f>
        <v>13695</v>
      </c>
      <c r="W64" s="71">
        <f t="shared" si="34"/>
        <v>14608</v>
      </c>
      <c r="X64" s="71">
        <f t="shared" si="34"/>
        <v>15521</v>
      </c>
      <c r="Y64" s="85"/>
      <c r="Z64" s="85"/>
      <c r="AA64" s="71">
        <f>X64+913</f>
        <v>16434</v>
      </c>
      <c r="AB64" s="71">
        <f>AA64+913</f>
        <v>17347</v>
      </c>
      <c r="AC64" s="71">
        <f>AB64+913</f>
        <v>18260</v>
      </c>
    </row>
    <row r="65" spans="1:29" x14ac:dyDescent="0.25">
      <c r="A65" s="19" t="s">
        <v>2</v>
      </c>
      <c r="B65" s="4">
        <f>B63/B64</f>
        <v>0.56516976998904711</v>
      </c>
      <c r="C65" s="4">
        <f t="shared" ref="C65:AC65" si="35">C63/C64</f>
        <v>0.52628696604600222</v>
      </c>
      <c r="D65" s="15"/>
      <c r="E65" s="15"/>
      <c r="F65" s="4">
        <f t="shared" si="35"/>
        <v>0.55093099671412926</v>
      </c>
      <c r="G65" s="4">
        <f t="shared" si="35"/>
        <v>0.63964950711938662</v>
      </c>
      <c r="H65" s="4">
        <f t="shared" si="35"/>
        <v>0.66506024096385541</v>
      </c>
      <c r="I65" s="4">
        <f t="shared" si="35"/>
        <v>0.73713033953997809</v>
      </c>
      <c r="J65" s="4">
        <f t="shared" si="35"/>
        <v>0.74949147238303859</v>
      </c>
      <c r="K65" s="15"/>
      <c r="L65" s="15"/>
      <c r="M65" s="4">
        <f t="shared" si="35"/>
        <v>0.81653888280394304</v>
      </c>
      <c r="N65" s="4">
        <f t="shared" si="35"/>
        <v>0.76183521966654499</v>
      </c>
      <c r="O65" s="4">
        <f t="shared" si="35"/>
        <v>0.76856516976998901</v>
      </c>
      <c r="P65" s="4">
        <f t="shared" si="35"/>
        <v>0.74151150054764514</v>
      </c>
      <c r="Q65" s="4">
        <f t="shared" si="35"/>
        <v>0.73448338809784597</v>
      </c>
      <c r="R65" s="15"/>
      <c r="S65" s="15"/>
      <c r="T65" s="4">
        <f t="shared" si="35"/>
        <v>0.713202460190412</v>
      </c>
      <c r="U65" s="4">
        <f t="shared" si="35"/>
        <v>0.7184321702393992</v>
      </c>
      <c r="V65" s="4">
        <f t="shared" si="35"/>
        <v>0.75830595107703547</v>
      </c>
      <c r="W65" s="4">
        <f t="shared" si="35"/>
        <v>0.74753559693318727</v>
      </c>
      <c r="X65" s="4">
        <f t="shared" si="35"/>
        <v>0.80851749242961146</v>
      </c>
      <c r="Y65" s="15"/>
      <c r="Z65" s="15"/>
      <c r="AA65" s="4">
        <f t="shared" si="35"/>
        <v>0.81513934525982723</v>
      </c>
      <c r="AB65" s="4">
        <f t="shared" si="35"/>
        <v>0.82244768547875713</v>
      </c>
      <c r="AC65" s="4">
        <f t="shared" si="35"/>
        <v>1.0039978094194961</v>
      </c>
    </row>
    <row r="66" spans="1:29" ht="15.75" thickBot="1" x14ac:dyDescent="0.3">
      <c r="A66" s="20"/>
      <c r="B66" s="7"/>
      <c r="C66" s="7"/>
      <c r="D66" s="16"/>
      <c r="E66" s="88"/>
      <c r="F66" s="26"/>
      <c r="G66" s="7"/>
      <c r="H66" s="7"/>
      <c r="I66" s="7"/>
      <c r="J66" s="72"/>
      <c r="K66" s="90"/>
      <c r="L66" s="16"/>
      <c r="M66" s="7"/>
      <c r="N66" s="7"/>
      <c r="O66" s="7"/>
      <c r="P66" s="7"/>
      <c r="Q66" s="72"/>
      <c r="R66" s="90"/>
      <c r="S66" s="16"/>
      <c r="T66" s="7"/>
      <c r="U66" s="7"/>
      <c r="V66" s="7"/>
      <c r="W66" s="7"/>
      <c r="X66" s="72"/>
      <c r="Y66" s="90"/>
      <c r="Z66" s="16"/>
      <c r="AA66" s="82"/>
      <c r="AB66" s="82"/>
      <c r="AC66" s="7"/>
    </row>
    <row r="68" spans="1:29" ht="15.75" thickBot="1" x14ac:dyDescent="0.3"/>
    <row r="69" spans="1:29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</row>
    <row r="70" spans="1:29" x14ac:dyDescent="0.25">
      <c r="A70" s="19" t="s">
        <v>8</v>
      </c>
      <c r="B70" s="56">
        <v>130</v>
      </c>
      <c r="C70" s="56">
        <v>550</v>
      </c>
      <c r="D70" s="60"/>
      <c r="E70" s="60"/>
      <c r="F70" s="56">
        <v>1577</v>
      </c>
      <c r="G70" s="56">
        <v>1803</v>
      </c>
      <c r="H70" s="56">
        <v>2868</v>
      </c>
      <c r="I70" s="56">
        <v>2868</v>
      </c>
      <c r="J70" s="68">
        <v>3642</v>
      </c>
      <c r="K70" s="89"/>
      <c r="L70" s="60"/>
      <c r="M70" s="56">
        <v>3778</v>
      </c>
      <c r="N70" s="56">
        <v>4013</v>
      </c>
      <c r="O70" s="56">
        <v>4770</v>
      </c>
      <c r="P70" s="56">
        <v>5011</v>
      </c>
      <c r="Q70" s="68">
        <v>5677</v>
      </c>
      <c r="R70" s="89"/>
      <c r="S70" s="60"/>
      <c r="T70" s="56">
        <v>5851</v>
      </c>
      <c r="U70" s="56">
        <v>6545</v>
      </c>
      <c r="V70" s="56">
        <v>7136</v>
      </c>
      <c r="W70" s="56">
        <v>7804</v>
      </c>
      <c r="X70" s="68">
        <v>9098</v>
      </c>
      <c r="Y70" s="89"/>
      <c r="Z70" s="60"/>
      <c r="AA70" s="80">
        <v>9559</v>
      </c>
      <c r="AB70" s="80">
        <v>10068</v>
      </c>
      <c r="AC70" s="120">
        <v>12896</v>
      </c>
    </row>
    <row r="71" spans="1:29" x14ac:dyDescent="0.25">
      <c r="A71" s="19" t="s">
        <v>1</v>
      </c>
      <c r="B71" s="52">
        <v>861</v>
      </c>
      <c r="C71" s="52">
        <f>B71+861</f>
        <v>1722</v>
      </c>
      <c r="D71" s="63"/>
      <c r="E71" s="63"/>
      <c r="F71" s="52">
        <f>C71+861</f>
        <v>2583</v>
      </c>
      <c r="G71" s="52">
        <f>F71+861</f>
        <v>3444</v>
      </c>
      <c r="H71" s="52">
        <f t="shared" ref="H71:J71" si="36">G71+861</f>
        <v>4305</v>
      </c>
      <c r="I71" s="52">
        <f t="shared" si="36"/>
        <v>5166</v>
      </c>
      <c r="J71" s="52">
        <f t="shared" si="36"/>
        <v>6027</v>
      </c>
      <c r="K71" s="85"/>
      <c r="L71" s="85"/>
      <c r="M71" s="71">
        <f>J71+861</f>
        <v>6888</v>
      </c>
      <c r="N71" s="71">
        <f>M71+861</f>
        <v>7749</v>
      </c>
      <c r="O71" s="71">
        <f t="shared" ref="O71:Q71" si="37">N71+861</f>
        <v>8610</v>
      </c>
      <c r="P71" s="71">
        <f t="shared" si="37"/>
        <v>9471</v>
      </c>
      <c r="Q71" s="71">
        <f t="shared" si="37"/>
        <v>10332</v>
      </c>
      <c r="R71" s="85"/>
      <c r="S71" s="85"/>
      <c r="T71" s="71">
        <f>Q71+861</f>
        <v>11193</v>
      </c>
      <c r="U71" s="71">
        <f>T71+861</f>
        <v>12054</v>
      </c>
      <c r="V71" s="71">
        <f t="shared" ref="V71:X71" si="38">U71+861</f>
        <v>12915</v>
      </c>
      <c r="W71" s="71">
        <f t="shared" si="38"/>
        <v>13776</v>
      </c>
      <c r="X71" s="71">
        <f t="shared" si="38"/>
        <v>14637</v>
      </c>
      <c r="Y71" s="85"/>
      <c r="Z71" s="85"/>
      <c r="AA71" s="71">
        <f>X71+861</f>
        <v>15498</v>
      </c>
      <c r="AB71" s="71">
        <f>AA71+861</f>
        <v>16359</v>
      </c>
      <c r="AC71" s="71">
        <f>AB71+861</f>
        <v>17220</v>
      </c>
    </row>
    <row r="72" spans="1:29" x14ac:dyDescent="0.25">
      <c r="A72" s="19" t="s">
        <v>2</v>
      </c>
      <c r="B72" s="4">
        <f>B70/B71</f>
        <v>0.15098722415795587</v>
      </c>
      <c r="C72" s="4">
        <f t="shared" ref="C72:AC72" si="39">C70/C71</f>
        <v>0.31939605110336816</v>
      </c>
      <c r="D72" s="15"/>
      <c r="E72" s="15"/>
      <c r="F72" s="4">
        <f t="shared" si="39"/>
        <v>0.61053039101819595</v>
      </c>
      <c r="G72" s="4">
        <f t="shared" si="39"/>
        <v>0.52351916376306618</v>
      </c>
      <c r="H72" s="4">
        <f t="shared" si="39"/>
        <v>0.66620209059233448</v>
      </c>
      <c r="I72" s="4">
        <f t="shared" si="39"/>
        <v>0.5551684088269454</v>
      </c>
      <c r="J72" s="4">
        <f t="shared" si="39"/>
        <v>0.60428073668491789</v>
      </c>
      <c r="K72" s="15"/>
      <c r="L72" s="15"/>
      <c r="M72" s="4">
        <f t="shared" si="39"/>
        <v>0.54849012775842043</v>
      </c>
      <c r="N72" s="4">
        <f t="shared" si="39"/>
        <v>0.51787327397083494</v>
      </c>
      <c r="O72" s="4">
        <f t="shared" si="39"/>
        <v>0.55400696864111498</v>
      </c>
      <c r="P72" s="4">
        <f t="shared" si="39"/>
        <v>0.52908879738148029</v>
      </c>
      <c r="Q72" s="4">
        <f t="shared" si="39"/>
        <v>0.54945799457994582</v>
      </c>
      <c r="R72" s="15"/>
      <c r="S72" s="15"/>
      <c r="T72" s="4">
        <f t="shared" si="39"/>
        <v>0.52273742517644961</v>
      </c>
      <c r="U72" s="4">
        <f t="shared" si="39"/>
        <v>0.54297328687572588</v>
      </c>
      <c r="V72" s="4">
        <f t="shared" si="39"/>
        <v>0.55253581107239647</v>
      </c>
      <c r="W72" s="4">
        <f t="shared" si="39"/>
        <v>0.56649245063879206</v>
      </c>
      <c r="X72" s="4">
        <f t="shared" si="39"/>
        <v>0.62157545945207349</v>
      </c>
      <c r="Y72" s="15"/>
      <c r="Z72" s="15"/>
      <c r="AA72" s="4">
        <f t="shared" si="39"/>
        <v>0.61678926313072657</v>
      </c>
      <c r="AB72" s="4">
        <f t="shared" si="39"/>
        <v>0.61544104162846136</v>
      </c>
      <c r="AC72" s="4">
        <f t="shared" si="39"/>
        <v>0.74889663182346111</v>
      </c>
    </row>
    <row r="73" spans="1:29" ht="15.75" thickBot="1" x14ac:dyDescent="0.3">
      <c r="A73" s="20"/>
      <c r="B73" s="7"/>
      <c r="C73" s="7"/>
      <c r="D73" s="16"/>
      <c r="E73" s="88"/>
      <c r="F73" s="26"/>
      <c r="G73" s="7"/>
      <c r="H73" s="7"/>
      <c r="I73" s="7"/>
      <c r="J73" s="72"/>
      <c r="K73" s="90"/>
      <c r="L73" s="16"/>
      <c r="M73" s="7"/>
      <c r="N73" s="7"/>
      <c r="O73" s="7"/>
      <c r="P73" s="7"/>
      <c r="Q73" s="72"/>
      <c r="R73" s="90"/>
      <c r="S73" s="16"/>
      <c r="T73" s="7"/>
      <c r="U73" s="7"/>
      <c r="V73" s="7"/>
      <c r="W73" s="7"/>
      <c r="X73" s="72"/>
      <c r="Y73" s="90"/>
      <c r="Z73" s="16"/>
      <c r="AA73" s="82"/>
      <c r="AB73" s="82"/>
      <c r="AC73" s="7"/>
    </row>
  </sheetData>
  <mergeCells count="1">
    <mergeCell ref="C1:W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73"/>
  <sheetViews>
    <sheetView topLeftCell="D11" zoomScale="70" zoomScaleNormal="70" workbookViewId="0">
      <selection activeCell="AF39" sqref="AF39"/>
    </sheetView>
  </sheetViews>
  <sheetFormatPr baseColWidth="10" defaultRowHeight="15" x14ac:dyDescent="0.25"/>
  <cols>
    <col min="1" max="1" width="56.7109375" customWidth="1"/>
    <col min="2" max="26" width="8.7109375" customWidth="1"/>
    <col min="27" max="27" width="9" style="39" customWidth="1"/>
    <col min="28" max="28" width="9.85546875" style="39" customWidth="1"/>
    <col min="29" max="29" width="10" customWidth="1"/>
    <col min="30" max="31" width="10.5703125" bestFit="1" customWidth="1"/>
    <col min="32" max="32" width="9.7109375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/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  <c r="AH4">
        <f>22</f>
        <v>22</v>
      </c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5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121"/>
      <c r="C8" s="102">
        <v>8652</v>
      </c>
      <c r="D8" s="103"/>
      <c r="E8" s="103"/>
      <c r="F8" s="102">
        <v>13629</v>
      </c>
      <c r="G8" s="102">
        <v>17502.93</v>
      </c>
      <c r="H8" s="56">
        <v>21001</v>
      </c>
      <c r="I8" s="56">
        <v>28685</v>
      </c>
      <c r="J8" s="68">
        <v>38014</v>
      </c>
      <c r="K8" s="89"/>
      <c r="L8" s="60"/>
      <c r="M8" s="56">
        <v>42088</v>
      </c>
      <c r="N8" s="56">
        <v>45781</v>
      </c>
      <c r="O8" s="56">
        <v>53489</v>
      </c>
      <c r="P8" s="56">
        <v>58112</v>
      </c>
      <c r="Q8" s="68">
        <v>63294</v>
      </c>
      <c r="R8" s="89"/>
      <c r="S8" s="60"/>
      <c r="T8" s="56">
        <v>69102</v>
      </c>
      <c r="U8" s="56">
        <v>74582</v>
      </c>
      <c r="V8" s="56">
        <v>83053</v>
      </c>
      <c r="W8" s="56">
        <v>89563</v>
      </c>
      <c r="X8" s="68">
        <v>95289</v>
      </c>
      <c r="Y8" s="89"/>
      <c r="Z8" s="60"/>
      <c r="AA8" s="80">
        <v>99526</v>
      </c>
      <c r="AB8" s="80">
        <v>102478</v>
      </c>
      <c r="AC8" s="56">
        <v>108493</v>
      </c>
      <c r="AD8" s="56">
        <v>114402</v>
      </c>
      <c r="AE8" s="56">
        <v>121927</v>
      </c>
      <c r="AF8" s="61"/>
      <c r="AG8" s="58"/>
      <c r="AH8" s="2"/>
      <c r="AI8" s="2"/>
      <c r="AJ8" s="2"/>
      <c r="AK8" s="10"/>
    </row>
    <row r="9" spans="1:37" x14ac:dyDescent="0.25">
      <c r="A9" s="19" t="s">
        <v>1</v>
      </c>
      <c r="B9" s="52">
        <v>5856</v>
      </c>
      <c r="C9" s="52">
        <f>B9+5856</f>
        <v>11712</v>
      </c>
      <c r="D9" s="63"/>
      <c r="E9" s="63"/>
      <c r="F9" s="52">
        <f>C9+5856</f>
        <v>17568</v>
      </c>
      <c r="G9" s="52">
        <f>F9+5856</f>
        <v>23424</v>
      </c>
      <c r="H9" s="52">
        <f t="shared" ref="H9:J9" si="0">G9+5856</f>
        <v>29280</v>
      </c>
      <c r="I9" s="52">
        <f t="shared" si="0"/>
        <v>35136</v>
      </c>
      <c r="J9" s="52">
        <f t="shared" si="0"/>
        <v>40992</v>
      </c>
      <c r="K9" s="85"/>
      <c r="L9" s="85"/>
      <c r="M9" s="71">
        <f>J9+5856</f>
        <v>46848</v>
      </c>
      <c r="N9" s="71">
        <f>M9+5856</f>
        <v>52704</v>
      </c>
      <c r="O9" s="71">
        <f t="shared" ref="O9:Q9" si="1">N9+5856</f>
        <v>58560</v>
      </c>
      <c r="P9" s="71">
        <f t="shared" si="1"/>
        <v>64416</v>
      </c>
      <c r="Q9" s="71">
        <f t="shared" si="1"/>
        <v>70272</v>
      </c>
      <c r="R9" s="85"/>
      <c r="S9" s="85"/>
      <c r="T9" s="71">
        <f>Q9+5856</f>
        <v>76128</v>
      </c>
      <c r="U9" s="71">
        <f>T9+5856</f>
        <v>81984</v>
      </c>
      <c r="V9" s="71">
        <f t="shared" ref="V9:X9" si="2">U9+5856</f>
        <v>87840</v>
      </c>
      <c r="W9" s="71">
        <f t="shared" si="2"/>
        <v>93696</v>
      </c>
      <c r="X9" s="71">
        <f t="shared" si="2"/>
        <v>99552</v>
      </c>
      <c r="Y9" s="85"/>
      <c r="Z9" s="85"/>
      <c r="AA9" s="71">
        <f>X9+5856</f>
        <v>105408</v>
      </c>
      <c r="AB9" s="71">
        <f>AA9+5856</f>
        <v>111264</v>
      </c>
      <c r="AC9" s="71">
        <f t="shared" ref="AC9:AE9" si="3">AB9+5856</f>
        <v>117120</v>
      </c>
      <c r="AD9" s="71">
        <f t="shared" si="3"/>
        <v>122976</v>
      </c>
      <c r="AE9" s="71">
        <f t="shared" si="3"/>
        <v>128832</v>
      </c>
      <c r="AF9" s="91"/>
      <c r="AG9" s="58"/>
      <c r="AH9" s="2"/>
      <c r="AI9" s="2"/>
      <c r="AJ9" s="2"/>
      <c r="AK9" s="2"/>
    </row>
    <row r="10" spans="1:37" x14ac:dyDescent="0.25">
      <c r="A10" s="19" t="s">
        <v>2</v>
      </c>
      <c r="B10" s="4">
        <f>B8/B9</f>
        <v>0</v>
      </c>
      <c r="C10" s="4">
        <f t="shared" ref="C10:AE10" si="4">C8/C9</f>
        <v>0.73872950819672134</v>
      </c>
      <c r="D10" s="15"/>
      <c r="E10" s="15"/>
      <c r="F10" s="4">
        <f t="shared" si="4"/>
        <v>0.77578551912568305</v>
      </c>
      <c r="G10" s="4">
        <f t="shared" si="4"/>
        <v>0.7472220799180328</v>
      </c>
      <c r="H10" s="4">
        <f t="shared" si="4"/>
        <v>0.71724726775956282</v>
      </c>
      <c r="I10" s="4">
        <f t="shared" si="4"/>
        <v>0.81639913479052828</v>
      </c>
      <c r="J10" s="4">
        <f t="shared" si="4"/>
        <v>0.92735167837626853</v>
      </c>
      <c r="K10" s="15"/>
      <c r="L10" s="15"/>
      <c r="M10" s="4">
        <f t="shared" si="4"/>
        <v>0.89839480874316935</v>
      </c>
      <c r="N10" s="4">
        <f t="shared" si="4"/>
        <v>0.86864374620522167</v>
      </c>
      <c r="O10" s="4">
        <f t="shared" si="4"/>
        <v>0.9134050546448087</v>
      </c>
      <c r="P10" s="4">
        <f t="shared" si="4"/>
        <v>0.90213611525086934</v>
      </c>
      <c r="Q10" s="4">
        <f t="shared" si="4"/>
        <v>0.90070013661202186</v>
      </c>
      <c r="R10" s="15"/>
      <c r="S10" s="15"/>
      <c r="T10" s="4">
        <f t="shared" si="4"/>
        <v>0.9077080706179067</v>
      </c>
      <c r="U10" s="4">
        <f t="shared" si="4"/>
        <v>0.90971409055425445</v>
      </c>
      <c r="V10" s="4">
        <f t="shared" si="4"/>
        <v>0.94550318761384333</v>
      </c>
      <c r="W10" s="4">
        <f t="shared" si="4"/>
        <v>0.95588925887978138</v>
      </c>
      <c r="X10" s="4">
        <f t="shared" si="4"/>
        <v>0.95717815814850526</v>
      </c>
      <c r="Y10" s="15"/>
      <c r="Z10" s="15"/>
      <c r="AA10" s="4">
        <f t="shared" si="4"/>
        <v>0.94419778384942321</v>
      </c>
      <c r="AB10" s="4">
        <f t="shared" si="4"/>
        <v>0.92103465631291348</v>
      </c>
      <c r="AC10" s="4">
        <f t="shared" si="4"/>
        <v>0.92634050546448088</v>
      </c>
      <c r="AD10" s="4">
        <f t="shared" si="4"/>
        <v>0.93027907884465266</v>
      </c>
      <c r="AE10" s="4">
        <f t="shared" si="4"/>
        <v>0.94640306756085446</v>
      </c>
      <c r="AF10" s="15"/>
      <c r="AG10" s="11"/>
      <c r="AH10" s="11"/>
      <c r="AI10" s="11"/>
      <c r="AJ10" s="11"/>
      <c r="AK10" s="11"/>
    </row>
    <row r="11" spans="1:37" ht="15.75" thickBot="1" x14ac:dyDescent="0.3">
      <c r="A11" s="20"/>
      <c r="B11" s="7"/>
      <c r="C11" s="7"/>
      <c r="D11" s="16"/>
      <c r="E11" s="88"/>
      <c r="F11" s="26"/>
      <c r="G11" s="7"/>
      <c r="H11" s="7"/>
      <c r="I11" s="7"/>
      <c r="J11" s="72"/>
      <c r="K11" s="90"/>
      <c r="L11" s="16"/>
      <c r="M11" s="7"/>
      <c r="N11" s="7"/>
      <c r="O11" s="7"/>
      <c r="P11" s="7"/>
      <c r="Q11" s="72"/>
      <c r="R11" s="90"/>
      <c r="S11" s="16"/>
      <c r="T11" s="7"/>
      <c r="U11" s="7"/>
      <c r="V11" s="7"/>
      <c r="W11" s="7"/>
      <c r="X11" s="72"/>
      <c r="Y11" s="90"/>
      <c r="Z11" s="16"/>
      <c r="AA11" s="82"/>
      <c r="AB11" s="82"/>
      <c r="AC11" s="7"/>
      <c r="AD11" s="7"/>
      <c r="AE11" s="7"/>
      <c r="AF11" s="55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  <c r="AH12">
        <f>AE9+AE16</f>
        <v>146256</v>
      </c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5">
        <v>31</v>
      </c>
      <c r="AG14" s="32"/>
    </row>
    <row r="15" spans="1:37" x14ac:dyDescent="0.25">
      <c r="A15" s="19" t="s">
        <v>8</v>
      </c>
      <c r="B15" s="121"/>
      <c r="C15" s="104">
        <v>1745</v>
      </c>
      <c r="D15" s="105"/>
      <c r="E15" s="105"/>
      <c r="F15" s="104">
        <v>1804</v>
      </c>
      <c r="G15" s="104">
        <v>1804</v>
      </c>
      <c r="H15" s="56">
        <v>1804</v>
      </c>
      <c r="I15" s="56">
        <v>1804</v>
      </c>
      <c r="J15" s="68">
        <v>1822</v>
      </c>
      <c r="K15" s="89"/>
      <c r="L15" s="60"/>
      <c r="M15" s="56">
        <v>2391</v>
      </c>
      <c r="N15" s="56">
        <v>2673</v>
      </c>
      <c r="O15" s="56">
        <v>2673</v>
      </c>
      <c r="P15" s="56">
        <v>2673</v>
      </c>
      <c r="Q15" s="68">
        <v>3119</v>
      </c>
      <c r="R15" s="89"/>
      <c r="S15" s="60"/>
      <c r="T15" s="56">
        <v>3393</v>
      </c>
      <c r="U15" s="56">
        <v>4571</v>
      </c>
      <c r="V15" s="56">
        <v>5481</v>
      </c>
      <c r="W15" s="56">
        <v>5481</v>
      </c>
      <c r="X15" s="68">
        <v>6889</v>
      </c>
      <c r="Y15" s="89"/>
      <c r="Z15" s="60"/>
      <c r="AA15" s="80">
        <v>7484</v>
      </c>
      <c r="AB15" s="80">
        <v>7728</v>
      </c>
      <c r="AC15" s="56">
        <v>8565</v>
      </c>
      <c r="AD15" s="56">
        <v>8870</v>
      </c>
      <c r="AE15" s="56">
        <v>10558</v>
      </c>
      <c r="AF15" s="61"/>
      <c r="AG15" s="32"/>
    </row>
    <row r="16" spans="1:37" x14ac:dyDescent="0.25">
      <c r="A16" s="19" t="s">
        <v>1</v>
      </c>
      <c r="B16" s="52">
        <v>792</v>
      </c>
      <c r="C16" s="52">
        <f>B16+792</f>
        <v>1584</v>
      </c>
      <c r="D16" s="63"/>
      <c r="E16" s="63"/>
      <c r="F16" s="52">
        <f>C16+792</f>
        <v>2376</v>
      </c>
      <c r="G16" s="52">
        <f>F16+792</f>
        <v>3168</v>
      </c>
      <c r="H16" s="52">
        <f t="shared" ref="H16:J16" si="5">G16+792</f>
        <v>3960</v>
      </c>
      <c r="I16" s="52">
        <f t="shared" si="5"/>
        <v>4752</v>
      </c>
      <c r="J16" s="52">
        <f t="shared" si="5"/>
        <v>5544</v>
      </c>
      <c r="K16" s="85"/>
      <c r="L16" s="85"/>
      <c r="M16" s="71">
        <f>J16+792</f>
        <v>6336</v>
      </c>
      <c r="N16" s="71">
        <f>M16+792</f>
        <v>7128</v>
      </c>
      <c r="O16" s="71">
        <f t="shared" ref="O16:Q16" si="6">N16+792</f>
        <v>7920</v>
      </c>
      <c r="P16" s="71">
        <f t="shared" si="6"/>
        <v>8712</v>
      </c>
      <c r="Q16" s="71">
        <f t="shared" si="6"/>
        <v>9504</v>
      </c>
      <c r="R16" s="85"/>
      <c r="S16" s="85"/>
      <c r="T16" s="71">
        <f>Q16+792</f>
        <v>10296</v>
      </c>
      <c r="U16" s="71">
        <f>T16+792</f>
        <v>11088</v>
      </c>
      <c r="V16" s="71">
        <f t="shared" ref="V16:X16" si="7">U16+792</f>
        <v>11880</v>
      </c>
      <c r="W16" s="71">
        <f t="shared" si="7"/>
        <v>12672</v>
      </c>
      <c r="X16" s="71">
        <f t="shared" si="7"/>
        <v>13464</v>
      </c>
      <c r="Y16" s="85"/>
      <c r="Z16" s="85"/>
      <c r="AA16" s="71">
        <f>X16+792</f>
        <v>14256</v>
      </c>
      <c r="AB16" s="71">
        <f>AA16+792</f>
        <v>15048</v>
      </c>
      <c r="AC16" s="71">
        <f t="shared" ref="AC16:AE16" si="8">AB16+792</f>
        <v>15840</v>
      </c>
      <c r="AD16" s="71">
        <f t="shared" si="8"/>
        <v>16632</v>
      </c>
      <c r="AE16" s="71">
        <f t="shared" si="8"/>
        <v>17424</v>
      </c>
      <c r="AF16" s="91"/>
      <c r="AG16" s="32"/>
    </row>
    <row r="17" spans="1:33" x14ac:dyDescent="0.25">
      <c r="A17" s="19" t="s">
        <v>2</v>
      </c>
      <c r="B17" s="4">
        <f>B15/B16</f>
        <v>0</v>
      </c>
      <c r="C17" s="4">
        <f t="shared" ref="C17:AE17" si="9">C15/C16</f>
        <v>1.1016414141414141</v>
      </c>
      <c r="D17" s="15"/>
      <c r="E17" s="15"/>
      <c r="F17" s="4">
        <f t="shared" si="9"/>
        <v>0.7592592592592593</v>
      </c>
      <c r="G17" s="4">
        <f t="shared" si="9"/>
        <v>0.56944444444444442</v>
      </c>
      <c r="H17" s="4">
        <f t="shared" si="9"/>
        <v>0.45555555555555555</v>
      </c>
      <c r="I17" s="4">
        <f t="shared" si="9"/>
        <v>0.37962962962962965</v>
      </c>
      <c r="J17" s="4">
        <f t="shared" si="9"/>
        <v>0.32864357864357863</v>
      </c>
      <c r="K17" s="15"/>
      <c r="L17" s="15"/>
      <c r="M17" s="4">
        <f t="shared" si="9"/>
        <v>0.37736742424242425</v>
      </c>
      <c r="N17" s="4">
        <f t="shared" si="9"/>
        <v>0.375</v>
      </c>
      <c r="O17" s="4">
        <f t="shared" si="9"/>
        <v>0.33750000000000002</v>
      </c>
      <c r="P17" s="4">
        <f t="shared" si="9"/>
        <v>0.30681818181818182</v>
      </c>
      <c r="Q17" s="4">
        <f t="shared" si="9"/>
        <v>0.32817760942760943</v>
      </c>
      <c r="R17" s="15"/>
      <c r="S17" s="15"/>
      <c r="T17" s="4">
        <f t="shared" si="9"/>
        <v>0.32954545454545453</v>
      </c>
      <c r="U17" s="4">
        <f t="shared" si="9"/>
        <v>0.41224747474747475</v>
      </c>
      <c r="V17" s="4">
        <f t="shared" si="9"/>
        <v>0.46136363636363636</v>
      </c>
      <c r="W17" s="4">
        <f t="shared" si="9"/>
        <v>0.43252840909090912</v>
      </c>
      <c r="X17" s="4">
        <f t="shared" si="9"/>
        <v>0.51166072489601899</v>
      </c>
      <c r="Y17" s="15"/>
      <c r="Z17" s="15"/>
      <c r="AA17" s="4">
        <f t="shared" si="9"/>
        <v>0.52497194163860827</v>
      </c>
      <c r="AB17" s="4">
        <f t="shared" si="9"/>
        <v>0.51355661881977677</v>
      </c>
      <c r="AC17" s="4">
        <f t="shared" si="9"/>
        <v>0.54071969696969702</v>
      </c>
      <c r="AD17" s="4">
        <f t="shared" si="9"/>
        <v>0.53330928330928329</v>
      </c>
      <c r="AE17" s="4">
        <f t="shared" si="9"/>
        <v>0.60594582185491275</v>
      </c>
      <c r="AF17" s="15"/>
      <c r="AG17" s="32"/>
    </row>
    <row r="18" spans="1:33" ht="15.75" thickBot="1" x14ac:dyDescent="0.3">
      <c r="A18" s="20"/>
      <c r="B18" s="7"/>
      <c r="C18" s="7"/>
      <c r="D18" s="16"/>
      <c r="E18" s="88"/>
      <c r="F18" s="26"/>
      <c r="G18" s="7"/>
      <c r="H18" s="7"/>
      <c r="I18" s="7"/>
      <c r="J18" s="72"/>
      <c r="K18" s="90"/>
      <c r="L18" s="16"/>
      <c r="M18" s="7"/>
      <c r="N18" s="7"/>
      <c r="O18" s="7"/>
      <c r="P18" s="7"/>
      <c r="Q18" s="72"/>
      <c r="R18" s="90"/>
      <c r="S18" s="16"/>
      <c r="T18" s="7"/>
      <c r="U18" s="7"/>
      <c r="V18" s="7"/>
      <c r="W18" s="7"/>
      <c r="X18" s="72"/>
      <c r="Y18" s="90"/>
      <c r="Z18" s="16"/>
      <c r="AA18" s="82"/>
      <c r="AB18" s="82"/>
      <c r="AC18" s="7"/>
      <c r="AD18" s="7"/>
      <c r="AE18" s="7"/>
      <c r="AF18" s="55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5">
        <v>31</v>
      </c>
      <c r="AG21" s="32"/>
    </row>
    <row r="22" spans="1:33" x14ac:dyDescent="0.25">
      <c r="A22" s="19" t="s">
        <v>8</v>
      </c>
      <c r="B22" s="121"/>
      <c r="C22" s="106">
        <v>7053</v>
      </c>
      <c r="D22" s="107"/>
      <c r="E22" s="107"/>
      <c r="F22" s="106">
        <v>8603</v>
      </c>
      <c r="G22" s="106">
        <v>9148</v>
      </c>
      <c r="H22" s="56">
        <v>11153</v>
      </c>
      <c r="I22" s="56">
        <v>14138</v>
      </c>
      <c r="J22" s="68">
        <v>15279</v>
      </c>
      <c r="K22" s="89"/>
      <c r="L22" s="60"/>
      <c r="M22" s="56">
        <v>17136</v>
      </c>
      <c r="N22" s="56">
        <v>17655</v>
      </c>
      <c r="O22" s="56">
        <v>19550</v>
      </c>
      <c r="P22" s="56">
        <v>21260</v>
      </c>
      <c r="Q22" s="68">
        <v>24295</v>
      </c>
      <c r="R22" s="89"/>
      <c r="S22" s="60"/>
      <c r="T22" s="56">
        <v>25169</v>
      </c>
      <c r="U22" s="56">
        <v>31515</v>
      </c>
      <c r="V22" s="56">
        <v>31854</v>
      </c>
      <c r="W22" s="56">
        <v>33666</v>
      </c>
      <c r="X22" s="68">
        <v>37024</v>
      </c>
      <c r="Y22" s="89"/>
      <c r="Z22" s="60"/>
      <c r="AA22" s="80">
        <v>39173</v>
      </c>
      <c r="AB22" s="80">
        <v>41819</v>
      </c>
      <c r="AC22" s="56">
        <v>45422</v>
      </c>
      <c r="AD22" s="56">
        <v>46777</v>
      </c>
      <c r="AE22" s="56">
        <v>53101</v>
      </c>
      <c r="AF22" s="61"/>
      <c r="AG22" s="32"/>
    </row>
    <row r="23" spans="1:33" x14ac:dyDescent="0.25">
      <c r="A23" s="19" t="s">
        <v>1</v>
      </c>
      <c r="B23" s="52">
        <v>2877</v>
      </c>
      <c r="C23" s="52">
        <f>B23+2877</f>
        <v>5754</v>
      </c>
      <c r="D23" s="63"/>
      <c r="E23" s="63"/>
      <c r="F23" s="52">
        <f>C23+2877</f>
        <v>8631</v>
      </c>
      <c r="G23" s="52">
        <f>F23+2877</f>
        <v>11508</v>
      </c>
      <c r="H23" s="52">
        <f t="shared" ref="H23:J23" si="10">G23+2877</f>
        <v>14385</v>
      </c>
      <c r="I23" s="52">
        <f t="shared" si="10"/>
        <v>17262</v>
      </c>
      <c r="J23" s="52">
        <f t="shared" si="10"/>
        <v>20139</v>
      </c>
      <c r="K23" s="85"/>
      <c r="L23" s="85"/>
      <c r="M23" s="71">
        <f>J23+2877</f>
        <v>23016</v>
      </c>
      <c r="N23" s="71">
        <f>M23+2877</f>
        <v>25893</v>
      </c>
      <c r="O23" s="71">
        <f t="shared" ref="O23:Q23" si="11">N23+2877</f>
        <v>28770</v>
      </c>
      <c r="P23" s="71">
        <f t="shared" si="11"/>
        <v>31647</v>
      </c>
      <c r="Q23" s="71">
        <f t="shared" si="11"/>
        <v>34524</v>
      </c>
      <c r="R23" s="85"/>
      <c r="S23" s="85"/>
      <c r="T23" s="71">
        <f>Q23+2877</f>
        <v>37401</v>
      </c>
      <c r="U23" s="71">
        <f>T23+2877</f>
        <v>40278</v>
      </c>
      <c r="V23" s="71">
        <f t="shared" ref="V23:X23" si="12">U23+2877</f>
        <v>43155</v>
      </c>
      <c r="W23" s="71">
        <f t="shared" si="12"/>
        <v>46032</v>
      </c>
      <c r="X23" s="71">
        <f t="shared" si="12"/>
        <v>48909</v>
      </c>
      <c r="Y23" s="85"/>
      <c r="Z23" s="85"/>
      <c r="AA23" s="71">
        <f>X23+2877</f>
        <v>51786</v>
      </c>
      <c r="AB23" s="71">
        <f>AA23+2877</f>
        <v>54663</v>
      </c>
      <c r="AC23" s="71">
        <f t="shared" ref="AC23:AE23" si="13">AB23+2877</f>
        <v>57540</v>
      </c>
      <c r="AD23" s="71">
        <f t="shared" si="13"/>
        <v>60417</v>
      </c>
      <c r="AE23" s="71">
        <f t="shared" si="13"/>
        <v>63294</v>
      </c>
      <c r="AF23" s="91"/>
      <c r="AG23" s="32"/>
    </row>
    <row r="24" spans="1:33" x14ac:dyDescent="0.25">
      <c r="A24" s="19" t="s">
        <v>2</v>
      </c>
      <c r="B24" s="4">
        <f>B22/B23</f>
        <v>0</v>
      </c>
      <c r="C24" s="4">
        <f t="shared" ref="C24:AE24" si="14">C22/C23</f>
        <v>1.2257559958289885</v>
      </c>
      <c r="D24" s="15"/>
      <c r="E24" s="15"/>
      <c r="F24" s="4">
        <f t="shared" si="14"/>
        <v>0.99675587996755877</v>
      </c>
      <c r="G24" s="4">
        <f t="shared" si="14"/>
        <v>0.79492526937782415</v>
      </c>
      <c r="H24" s="4">
        <f t="shared" si="14"/>
        <v>0.77532151546750083</v>
      </c>
      <c r="I24" s="4">
        <f t="shared" si="14"/>
        <v>0.81902444676167308</v>
      </c>
      <c r="J24" s="4">
        <f t="shared" si="14"/>
        <v>0.75867719350513929</v>
      </c>
      <c r="K24" s="15"/>
      <c r="L24" s="15"/>
      <c r="M24" s="4">
        <f t="shared" si="14"/>
        <v>0.74452554744525545</v>
      </c>
      <c r="N24" s="4">
        <f t="shared" si="14"/>
        <v>0.6818445139613023</v>
      </c>
      <c r="O24" s="4">
        <f t="shared" si="14"/>
        <v>0.67952728536670137</v>
      </c>
      <c r="P24" s="4">
        <f t="shared" si="14"/>
        <v>0.67178563528928492</v>
      </c>
      <c r="Q24" s="4">
        <f t="shared" si="14"/>
        <v>0.70371335882284791</v>
      </c>
      <c r="R24" s="15"/>
      <c r="S24" s="15"/>
      <c r="T24" s="4">
        <f t="shared" si="14"/>
        <v>0.67294992112510366</v>
      </c>
      <c r="U24" s="4">
        <f t="shared" si="14"/>
        <v>0.78243706241620736</v>
      </c>
      <c r="V24" s="4">
        <f t="shared" si="14"/>
        <v>0.73812999652415712</v>
      </c>
      <c r="W24" s="4">
        <f t="shared" si="14"/>
        <v>0.73136079249217933</v>
      </c>
      <c r="X24" s="4">
        <f t="shared" si="14"/>
        <v>0.7569976895867836</v>
      </c>
      <c r="Y24" s="15"/>
      <c r="Z24" s="15"/>
      <c r="AA24" s="4">
        <f t="shared" si="14"/>
        <v>0.75643996446916151</v>
      </c>
      <c r="AB24" s="4">
        <f t="shared" si="14"/>
        <v>0.76503302050747302</v>
      </c>
      <c r="AC24" s="4">
        <f t="shared" si="14"/>
        <v>0.78939867917970108</v>
      </c>
      <c r="AD24" s="4">
        <f t="shared" si="14"/>
        <v>0.77423572835460219</v>
      </c>
      <c r="AE24" s="4">
        <f t="shared" si="14"/>
        <v>0.83895787910386455</v>
      </c>
      <c r="AF24" s="15"/>
      <c r="AG24" s="32"/>
    </row>
    <row r="25" spans="1:33" ht="15.75" thickBot="1" x14ac:dyDescent="0.3">
      <c r="A25" s="20"/>
      <c r="B25" s="7"/>
      <c r="C25" s="7"/>
      <c r="D25" s="16"/>
      <c r="E25" s="88"/>
      <c r="F25" s="26"/>
      <c r="G25" s="7"/>
      <c r="H25" s="7"/>
      <c r="I25" s="7"/>
      <c r="J25" s="72"/>
      <c r="K25" s="90"/>
      <c r="L25" s="16"/>
      <c r="M25" s="7"/>
      <c r="N25" s="7"/>
      <c r="O25" s="7"/>
      <c r="P25" s="7"/>
      <c r="Q25" s="72"/>
      <c r="R25" s="90"/>
      <c r="S25" s="16"/>
      <c r="T25" s="7"/>
      <c r="U25" s="7"/>
      <c r="V25" s="7"/>
      <c r="W25" s="7"/>
      <c r="X25" s="72"/>
      <c r="Y25" s="90"/>
      <c r="Z25" s="16"/>
      <c r="AA25" s="82"/>
      <c r="AB25" s="82"/>
      <c r="AC25" s="7"/>
      <c r="AD25" s="7"/>
      <c r="AE25" s="7"/>
      <c r="AF25" s="55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5">
        <v>31</v>
      </c>
      <c r="AG28" s="32"/>
    </row>
    <row r="29" spans="1:33" x14ac:dyDescent="0.25">
      <c r="A29" s="19" t="s">
        <v>8</v>
      </c>
      <c r="B29" s="121"/>
      <c r="C29" s="108">
        <v>2605</v>
      </c>
      <c r="D29" s="109"/>
      <c r="E29" s="109"/>
      <c r="F29" s="108">
        <v>3495</v>
      </c>
      <c r="G29" s="108">
        <v>4523</v>
      </c>
      <c r="H29" s="56">
        <v>5851</v>
      </c>
      <c r="I29" s="56">
        <v>6630</v>
      </c>
      <c r="J29" s="68">
        <v>7235</v>
      </c>
      <c r="K29" s="89"/>
      <c r="L29" s="60"/>
      <c r="M29" s="56">
        <v>8013</v>
      </c>
      <c r="N29" s="56">
        <v>10852</v>
      </c>
      <c r="O29" s="56">
        <v>10948</v>
      </c>
      <c r="P29" s="56">
        <v>13742</v>
      </c>
      <c r="Q29" s="68">
        <v>14974</v>
      </c>
      <c r="R29" s="89"/>
      <c r="S29" s="60"/>
      <c r="T29" s="56">
        <v>17094</v>
      </c>
      <c r="U29" s="56">
        <v>17515</v>
      </c>
      <c r="V29" s="56">
        <v>18789</v>
      </c>
      <c r="W29" s="56">
        <v>18915</v>
      </c>
      <c r="X29" s="68">
        <v>20754</v>
      </c>
      <c r="Y29" s="89"/>
      <c r="Z29" s="60"/>
      <c r="AA29" s="80">
        <v>22058</v>
      </c>
      <c r="AB29" s="80">
        <v>25262</v>
      </c>
      <c r="AC29" s="56">
        <v>27078</v>
      </c>
      <c r="AD29" s="56">
        <v>29161</v>
      </c>
      <c r="AE29" s="56">
        <v>33339</v>
      </c>
      <c r="AF29" s="61"/>
      <c r="AG29" s="32"/>
    </row>
    <row r="30" spans="1:33" x14ac:dyDescent="0.25">
      <c r="A30" s="19" t="s">
        <v>1</v>
      </c>
      <c r="B30" s="52">
        <v>1770</v>
      </c>
      <c r="C30" s="52">
        <f>B30+1770</f>
        <v>3540</v>
      </c>
      <c r="D30" s="63"/>
      <c r="E30" s="63"/>
      <c r="F30" s="52">
        <f>C30+1770</f>
        <v>5310</v>
      </c>
      <c r="G30" s="52">
        <f>F30+1770</f>
        <v>7080</v>
      </c>
      <c r="H30" s="52">
        <f t="shared" ref="H30:J30" si="15">G30+1770</f>
        <v>8850</v>
      </c>
      <c r="I30" s="52">
        <f t="shared" si="15"/>
        <v>10620</v>
      </c>
      <c r="J30" s="52">
        <f t="shared" si="15"/>
        <v>12390</v>
      </c>
      <c r="K30" s="85"/>
      <c r="L30" s="85"/>
      <c r="M30" s="71">
        <f>J30+1770</f>
        <v>14160</v>
      </c>
      <c r="N30" s="71">
        <f>M30+1770</f>
        <v>15930</v>
      </c>
      <c r="O30" s="71">
        <f t="shared" ref="O30:Q30" si="16">N30+1770</f>
        <v>17700</v>
      </c>
      <c r="P30" s="71">
        <f t="shared" si="16"/>
        <v>19470</v>
      </c>
      <c r="Q30" s="71">
        <f t="shared" si="16"/>
        <v>21240</v>
      </c>
      <c r="R30" s="85"/>
      <c r="S30" s="85"/>
      <c r="T30" s="71">
        <f>Q30+1770</f>
        <v>23010</v>
      </c>
      <c r="U30" s="71">
        <f>T30+1770</f>
        <v>24780</v>
      </c>
      <c r="V30" s="71">
        <f t="shared" ref="V30:X30" si="17">U30+1770</f>
        <v>26550</v>
      </c>
      <c r="W30" s="71">
        <f t="shared" si="17"/>
        <v>28320</v>
      </c>
      <c r="X30" s="71">
        <f t="shared" si="17"/>
        <v>30090</v>
      </c>
      <c r="Y30" s="85"/>
      <c r="Z30" s="85"/>
      <c r="AA30" s="71">
        <f>X30+1770</f>
        <v>31860</v>
      </c>
      <c r="AB30" s="71">
        <f>AA30+1770</f>
        <v>33630</v>
      </c>
      <c r="AC30" s="71">
        <f t="shared" ref="AC30:AE30" si="18">AB30+1770</f>
        <v>35400</v>
      </c>
      <c r="AD30" s="71">
        <f t="shared" si="18"/>
        <v>37170</v>
      </c>
      <c r="AE30" s="71">
        <f t="shared" si="18"/>
        <v>38940</v>
      </c>
      <c r="AF30" s="91"/>
      <c r="AG30" s="32"/>
    </row>
    <row r="31" spans="1:33" x14ac:dyDescent="0.25">
      <c r="A31" s="19" t="s">
        <v>2</v>
      </c>
      <c r="B31" s="4">
        <f>B29/B30</f>
        <v>0</v>
      </c>
      <c r="C31" s="4">
        <f t="shared" ref="C31:AE31" si="19">C29/C30</f>
        <v>0.73587570621468923</v>
      </c>
      <c r="D31" s="15"/>
      <c r="E31" s="15"/>
      <c r="F31" s="4">
        <f t="shared" si="19"/>
        <v>0.65819209039548021</v>
      </c>
      <c r="G31" s="4">
        <f t="shared" si="19"/>
        <v>0.63884180790960454</v>
      </c>
      <c r="H31" s="4">
        <f t="shared" si="19"/>
        <v>0.66112994350282484</v>
      </c>
      <c r="I31" s="4">
        <f t="shared" si="19"/>
        <v>0.62429378531073443</v>
      </c>
      <c r="J31" s="4">
        <f t="shared" si="19"/>
        <v>0.58393866020984664</v>
      </c>
      <c r="K31" s="15"/>
      <c r="L31" s="15"/>
      <c r="M31" s="4">
        <f t="shared" si="19"/>
        <v>0.56588983050847452</v>
      </c>
      <c r="N31" s="4">
        <f t="shared" si="19"/>
        <v>0.68123038292529814</v>
      </c>
      <c r="O31" s="4">
        <f t="shared" si="19"/>
        <v>0.61853107344632763</v>
      </c>
      <c r="P31" s="4">
        <f t="shared" si="19"/>
        <v>0.70580380071905491</v>
      </c>
      <c r="Q31" s="4">
        <f t="shared" si="19"/>
        <v>0.70499058380414314</v>
      </c>
      <c r="R31" s="15"/>
      <c r="S31" s="15"/>
      <c r="T31" s="4">
        <f t="shared" si="19"/>
        <v>0.7428943937418514</v>
      </c>
      <c r="U31" s="4">
        <f t="shared" si="19"/>
        <v>0.70682001614205003</v>
      </c>
      <c r="V31" s="4">
        <f t="shared" si="19"/>
        <v>0.70768361581920902</v>
      </c>
      <c r="W31" s="4">
        <f t="shared" si="19"/>
        <v>0.66790254237288138</v>
      </c>
      <c r="X31" s="4">
        <f t="shared" si="19"/>
        <v>0.68973080757726823</v>
      </c>
      <c r="Y31" s="15"/>
      <c r="Z31" s="15"/>
      <c r="AA31" s="4">
        <f t="shared" si="19"/>
        <v>0.69234149403640932</v>
      </c>
      <c r="AB31" s="4">
        <f t="shared" si="19"/>
        <v>0.75117454653583116</v>
      </c>
      <c r="AC31" s="4">
        <f t="shared" si="19"/>
        <v>0.76491525423728812</v>
      </c>
      <c r="AD31" s="4">
        <f t="shared" si="19"/>
        <v>0.784530535377993</v>
      </c>
      <c r="AE31" s="4">
        <f t="shared" si="19"/>
        <v>0.85616332819722651</v>
      </c>
      <c r="AF31" s="15"/>
      <c r="AG31" s="32"/>
    </row>
    <row r="32" spans="1:33" ht="15.75" thickBot="1" x14ac:dyDescent="0.3">
      <c r="A32" s="20"/>
      <c r="B32" s="7"/>
      <c r="C32" s="7"/>
      <c r="D32" s="16"/>
      <c r="E32" s="88"/>
      <c r="F32" s="26"/>
      <c r="G32" s="7"/>
      <c r="H32" s="7"/>
      <c r="I32" s="7"/>
      <c r="J32" s="72"/>
      <c r="K32" s="90"/>
      <c r="L32" s="16"/>
      <c r="M32" s="7"/>
      <c r="N32" s="7"/>
      <c r="O32" s="7"/>
      <c r="P32" s="7"/>
      <c r="Q32" s="72"/>
      <c r="R32" s="90"/>
      <c r="S32" s="16"/>
      <c r="T32" s="7"/>
      <c r="U32" s="7"/>
      <c r="V32" s="7"/>
      <c r="W32" s="7"/>
      <c r="X32" s="72"/>
      <c r="Y32" s="90"/>
      <c r="Z32" s="16"/>
      <c r="AA32" s="82"/>
      <c r="AB32" s="82"/>
      <c r="AC32" s="7"/>
      <c r="AD32" s="7"/>
      <c r="AE32" s="7"/>
      <c r="AF32" s="55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5">
        <v>31</v>
      </c>
      <c r="AG35" s="32"/>
    </row>
    <row r="36" spans="1:33" x14ac:dyDescent="0.25">
      <c r="A36" s="19" t="s">
        <v>8</v>
      </c>
      <c r="B36" s="121"/>
      <c r="C36" s="110">
        <v>1137</v>
      </c>
      <c r="D36" s="111"/>
      <c r="E36" s="111"/>
      <c r="F36" s="110">
        <v>2789</v>
      </c>
      <c r="G36" s="110">
        <v>6736</v>
      </c>
      <c r="H36" s="56">
        <v>8243</v>
      </c>
      <c r="I36" s="56">
        <v>9196</v>
      </c>
      <c r="J36" s="68">
        <v>12165</v>
      </c>
      <c r="K36" s="89"/>
      <c r="L36" s="60"/>
      <c r="M36" s="56">
        <v>14655</v>
      </c>
      <c r="N36" s="56">
        <v>19372</v>
      </c>
      <c r="O36" s="56">
        <v>21485</v>
      </c>
      <c r="P36" s="56">
        <v>22728</v>
      </c>
      <c r="Q36" s="68">
        <v>27013</v>
      </c>
      <c r="R36" s="89"/>
      <c r="S36" s="60"/>
      <c r="T36" s="56">
        <v>30884</v>
      </c>
      <c r="U36" s="56">
        <v>32886</v>
      </c>
      <c r="V36" s="56">
        <v>37137</v>
      </c>
      <c r="W36" s="56">
        <v>40588</v>
      </c>
      <c r="X36" s="68">
        <v>43591</v>
      </c>
      <c r="Y36" s="89"/>
      <c r="Z36" s="60"/>
      <c r="AA36" s="80">
        <v>45432</v>
      </c>
      <c r="AB36" s="80">
        <v>48972</v>
      </c>
      <c r="AC36" s="56">
        <v>53311</v>
      </c>
      <c r="AD36" s="56">
        <v>55604</v>
      </c>
      <c r="AE36" s="56">
        <v>60653</v>
      </c>
      <c r="AF36" s="61"/>
      <c r="AG36" s="32"/>
    </row>
    <row r="37" spans="1:33" x14ac:dyDescent="0.25">
      <c r="A37" s="19" t="s">
        <v>1</v>
      </c>
      <c r="B37" s="52">
        <v>3262</v>
      </c>
      <c r="C37" s="52">
        <f>B37+3262</f>
        <v>6524</v>
      </c>
      <c r="D37" s="63"/>
      <c r="E37" s="63"/>
      <c r="F37" s="52">
        <f>C37+3262</f>
        <v>9786</v>
      </c>
      <c r="G37" s="52">
        <f>F37+3262</f>
        <v>13048</v>
      </c>
      <c r="H37" s="52">
        <f t="shared" ref="H37:J37" si="20">G37+3262</f>
        <v>16310</v>
      </c>
      <c r="I37" s="52">
        <f t="shared" si="20"/>
        <v>19572</v>
      </c>
      <c r="J37" s="52">
        <f t="shared" si="20"/>
        <v>22834</v>
      </c>
      <c r="K37" s="85"/>
      <c r="L37" s="85"/>
      <c r="M37" s="71">
        <f>J37+3262</f>
        <v>26096</v>
      </c>
      <c r="N37" s="71">
        <f>M37+3262</f>
        <v>29358</v>
      </c>
      <c r="O37" s="71">
        <f t="shared" ref="O37:Q37" si="21">N37+3262</f>
        <v>32620</v>
      </c>
      <c r="P37" s="71">
        <f t="shared" si="21"/>
        <v>35882</v>
      </c>
      <c r="Q37" s="71">
        <f t="shared" si="21"/>
        <v>39144</v>
      </c>
      <c r="R37" s="85"/>
      <c r="S37" s="85"/>
      <c r="T37" s="71">
        <f>Q37+3262</f>
        <v>42406</v>
      </c>
      <c r="U37" s="71">
        <f>T37+3262</f>
        <v>45668</v>
      </c>
      <c r="V37" s="71">
        <f t="shared" ref="V37:X37" si="22">U37+3262</f>
        <v>48930</v>
      </c>
      <c r="W37" s="71">
        <f t="shared" si="22"/>
        <v>52192</v>
      </c>
      <c r="X37" s="71">
        <f t="shared" si="22"/>
        <v>55454</v>
      </c>
      <c r="Y37" s="85"/>
      <c r="Z37" s="85"/>
      <c r="AA37" s="71">
        <f>X37+3262</f>
        <v>58716</v>
      </c>
      <c r="AB37" s="71">
        <f>AA37+3262</f>
        <v>61978</v>
      </c>
      <c r="AC37" s="71">
        <f t="shared" ref="AC37:AE37" si="23">AB37+3262</f>
        <v>65240</v>
      </c>
      <c r="AD37" s="71">
        <f t="shared" si="23"/>
        <v>68502</v>
      </c>
      <c r="AE37" s="71">
        <f t="shared" si="23"/>
        <v>71764</v>
      </c>
      <c r="AF37" s="91"/>
      <c r="AG37" s="32"/>
    </row>
    <row r="38" spans="1:33" x14ac:dyDescent="0.25">
      <c r="A38" s="19" t="s">
        <v>2</v>
      </c>
      <c r="B38" s="4">
        <f>B36/B37</f>
        <v>0</v>
      </c>
      <c r="C38" s="4">
        <f t="shared" ref="C38:AE38" si="24">C36/C37</f>
        <v>0.17427958307786634</v>
      </c>
      <c r="D38" s="15"/>
      <c r="E38" s="15"/>
      <c r="F38" s="4">
        <f t="shared" si="24"/>
        <v>0.28499897813202535</v>
      </c>
      <c r="G38" s="4">
        <f t="shared" si="24"/>
        <v>0.51624770079705706</v>
      </c>
      <c r="H38" s="4">
        <f t="shared" si="24"/>
        <v>0.50539546290619253</v>
      </c>
      <c r="I38" s="4">
        <f t="shared" si="24"/>
        <v>0.46985489474759862</v>
      </c>
      <c r="J38" s="4">
        <f t="shared" si="24"/>
        <v>0.53275816764474027</v>
      </c>
      <c r="K38" s="15"/>
      <c r="L38" s="15"/>
      <c r="M38" s="4">
        <f t="shared" si="24"/>
        <v>0.56158031882280812</v>
      </c>
      <c r="N38" s="4">
        <f t="shared" si="24"/>
        <v>0.65985421350228213</v>
      </c>
      <c r="O38" s="4">
        <f t="shared" si="24"/>
        <v>0.65864500306560392</v>
      </c>
      <c r="P38" s="4">
        <f t="shared" si="24"/>
        <v>0.63340950894598969</v>
      </c>
      <c r="Q38" s="4">
        <f t="shared" si="24"/>
        <v>0.69009298998569379</v>
      </c>
      <c r="R38" s="15"/>
      <c r="S38" s="15"/>
      <c r="T38" s="4">
        <f t="shared" si="24"/>
        <v>0.72829316606140637</v>
      </c>
      <c r="U38" s="4">
        <f t="shared" si="24"/>
        <v>0.72011036174126308</v>
      </c>
      <c r="V38" s="4">
        <f t="shared" si="24"/>
        <v>0.75898221949724098</v>
      </c>
      <c r="W38" s="4">
        <f t="shared" si="24"/>
        <v>0.77766707541385649</v>
      </c>
      <c r="X38" s="4">
        <f t="shared" si="24"/>
        <v>0.78607494499945896</v>
      </c>
      <c r="Y38" s="15"/>
      <c r="Z38" s="15"/>
      <c r="AA38" s="4">
        <f t="shared" si="24"/>
        <v>0.77375843041079095</v>
      </c>
      <c r="AB38" s="4">
        <f t="shared" si="24"/>
        <v>0.7901513440252993</v>
      </c>
      <c r="AC38" s="4">
        <f t="shared" si="24"/>
        <v>0.81715205395462909</v>
      </c>
      <c r="AD38" s="4">
        <f t="shared" si="24"/>
        <v>0.81171352661236174</v>
      </c>
      <c r="AE38" s="4">
        <f t="shared" si="24"/>
        <v>0.84517306727607155</v>
      </c>
      <c r="AF38" s="15"/>
      <c r="AG38" s="32"/>
    </row>
    <row r="39" spans="1:33" ht="15.75" thickBot="1" x14ac:dyDescent="0.3">
      <c r="A39" s="20"/>
      <c r="B39" s="7"/>
      <c r="C39" s="7"/>
      <c r="D39" s="16"/>
      <c r="E39" s="88"/>
      <c r="F39" s="26"/>
      <c r="G39" s="7"/>
      <c r="H39" s="7"/>
      <c r="I39" s="7"/>
      <c r="J39" s="72"/>
      <c r="K39" s="90"/>
      <c r="L39" s="16"/>
      <c r="M39" s="7"/>
      <c r="N39" s="7"/>
      <c r="O39" s="7"/>
      <c r="P39" s="7"/>
      <c r="Q39" s="72"/>
      <c r="R39" s="90"/>
      <c r="S39" s="16"/>
      <c r="T39" s="7"/>
      <c r="U39" s="7"/>
      <c r="V39" s="7"/>
      <c r="W39" s="7"/>
      <c r="X39" s="72"/>
      <c r="Y39" s="90"/>
      <c r="Z39" s="16"/>
      <c r="AA39" s="82"/>
      <c r="AB39" s="82"/>
      <c r="AC39" s="7"/>
      <c r="AD39" s="7"/>
      <c r="AE39" s="7"/>
      <c r="AF39" s="55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5">
        <v>31</v>
      </c>
      <c r="AG42" s="32"/>
    </row>
    <row r="43" spans="1:33" x14ac:dyDescent="0.25">
      <c r="A43" s="19" t="s">
        <v>8</v>
      </c>
      <c r="B43" s="121"/>
      <c r="C43" s="112">
        <v>360</v>
      </c>
      <c r="D43" s="113"/>
      <c r="E43" s="113"/>
      <c r="F43" s="112">
        <v>773</v>
      </c>
      <c r="G43" s="112">
        <v>1426</v>
      </c>
      <c r="H43" s="56">
        <v>1553</v>
      </c>
      <c r="I43" s="56">
        <v>3115</v>
      </c>
      <c r="J43" s="68">
        <v>3557</v>
      </c>
      <c r="K43" s="89"/>
      <c r="L43" s="60"/>
      <c r="M43" s="56">
        <v>4123</v>
      </c>
      <c r="N43" s="56">
        <v>5018</v>
      </c>
      <c r="O43" s="56">
        <v>5176</v>
      </c>
      <c r="P43" s="56">
        <v>5647</v>
      </c>
      <c r="Q43" s="68">
        <v>6391</v>
      </c>
      <c r="R43" s="89"/>
      <c r="S43" s="60"/>
      <c r="T43" s="56">
        <v>6561</v>
      </c>
      <c r="U43" s="56">
        <v>6902</v>
      </c>
      <c r="V43" s="56">
        <v>7598</v>
      </c>
      <c r="W43" s="56">
        <v>9104</v>
      </c>
      <c r="X43" s="68">
        <v>9828</v>
      </c>
      <c r="Y43" s="89"/>
      <c r="Z43" s="60"/>
      <c r="AA43" s="80">
        <v>10220</v>
      </c>
      <c r="AB43" s="80">
        <v>10546</v>
      </c>
      <c r="AC43" s="56">
        <v>10546</v>
      </c>
      <c r="AD43" s="56">
        <v>11199</v>
      </c>
      <c r="AE43" s="56">
        <v>13210</v>
      </c>
      <c r="AF43" s="61"/>
      <c r="AG43" s="32"/>
    </row>
    <row r="44" spans="1:33" x14ac:dyDescent="0.25">
      <c r="A44" s="19" t="s">
        <v>1</v>
      </c>
      <c r="B44" s="52">
        <f>731</f>
        <v>731</v>
      </c>
      <c r="C44" s="52">
        <f>B44+731</f>
        <v>1462</v>
      </c>
      <c r="D44" s="63"/>
      <c r="E44" s="63"/>
      <c r="F44" s="52">
        <f>C44+731</f>
        <v>2193</v>
      </c>
      <c r="G44" s="52">
        <f>F44+731</f>
        <v>2924</v>
      </c>
      <c r="H44" s="52">
        <f t="shared" ref="H44:J44" si="25">G44+731</f>
        <v>3655</v>
      </c>
      <c r="I44" s="52">
        <f t="shared" si="25"/>
        <v>4386</v>
      </c>
      <c r="J44" s="52">
        <f t="shared" si="25"/>
        <v>5117</v>
      </c>
      <c r="K44" s="85"/>
      <c r="L44" s="85"/>
      <c r="M44" s="71">
        <f>J44+731</f>
        <v>5848</v>
      </c>
      <c r="N44" s="71">
        <f>M44+731</f>
        <v>6579</v>
      </c>
      <c r="O44" s="71">
        <f t="shared" ref="O44:Q44" si="26">N44+731</f>
        <v>7310</v>
      </c>
      <c r="P44" s="71">
        <f t="shared" si="26"/>
        <v>8041</v>
      </c>
      <c r="Q44" s="71">
        <f t="shared" si="26"/>
        <v>8772</v>
      </c>
      <c r="R44" s="85"/>
      <c r="S44" s="85"/>
      <c r="T44" s="71">
        <f>Q44+731</f>
        <v>9503</v>
      </c>
      <c r="U44" s="71">
        <f>T44+731</f>
        <v>10234</v>
      </c>
      <c r="V44" s="71">
        <f t="shared" ref="V44:X44" si="27">U44+731</f>
        <v>10965</v>
      </c>
      <c r="W44" s="71">
        <f t="shared" si="27"/>
        <v>11696</v>
      </c>
      <c r="X44" s="71">
        <f t="shared" si="27"/>
        <v>12427</v>
      </c>
      <c r="Y44" s="85"/>
      <c r="Z44" s="85"/>
      <c r="AA44" s="71">
        <f>X44+731</f>
        <v>13158</v>
      </c>
      <c r="AB44" s="71">
        <f>AA44+731</f>
        <v>13889</v>
      </c>
      <c r="AC44" s="71">
        <f t="shared" ref="AC44:AE44" si="28">AB44+731</f>
        <v>14620</v>
      </c>
      <c r="AD44" s="71">
        <f t="shared" si="28"/>
        <v>15351</v>
      </c>
      <c r="AE44" s="71">
        <f t="shared" si="28"/>
        <v>16082</v>
      </c>
      <c r="AF44" s="91"/>
      <c r="AG44" s="32"/>
    </row>
    <row r="45" spans="1:33" x14ac:dyDescent="0.25">
      <c r="A45" s="19" t="s">
        <v>2</v>
      </c>
      <c r="B45" s="4">
        <f>B43/B44</f>
        <v>0</v>
      </c>
      <c r="C45" s="4">
        <f t="shared" ref="C45:AE45" si="29">C43/C44</f>
        <v>0.24623803009575923</v>
      </c>
      <c r="D45" s="15"/>
      <c r="E45" s="15"/>
      <c r="F45" s="4">
        <f t="shared" si="29"/>
        <v>0.35248518011855906</v>
      </c>
      <c r="G45" s="4">
        <f t="shared" si="29"/>
        <v>0.48768809849521205</v>
      </c>
      <c r="H45" s="4">
        <f t="shared" si="29"/>
        <v>0.42489740082079341</v>
      </c>
      <c r="I45" s="4">
        <f t="shared" si="29"/>
        <v>0.71021431828545367</v>
      </c>
      <c r="J45" s="4">
        <f t="shared" si="29"/>
        <v>0.69513386750048856</v>
      </c>
      <c r="K45" s="15"/>
      <c r="L45" s="15"/>
      <c r="M45" s="4">
        <f t="shared" si="29"/>
        <v>0.70502735978112174</v>
      </c>
      <c r="N45" s="4">
        <f t="shared" si="29"/>
        <v>0.76272989816081471</v>
      </c>
      <c r="O45" s="4">
        <f t="shared" si="29"/>
        <v>0.7080711354309166</v>
      </c>
      <c r="P45" s="4">
        <f t="shared" si="29"/>
        <v>0.70227583633876378</v>
      </c>
      <c r="Q45" s="4">
        <f t="shared" si="29"/>
        <v>0.72856817145462838</v>
      </c>
      <c r="R45" s="15"/>
      <c r="S45" s="15"/>
      <c r="T45" s="4">
        <f t="shared" si="29"/>
        <v>0.69041355361464796</v>
      </c>
      <c r="U45" s="4">
        <f t="shared" si="29"/>
        <v>0.67441860465116277</v>
      </c>
      <c r="V45" s="4">
        <f t="shared" si="29"/>
        <v>0.69293205654354761</v>
      </c>
      <c r="W45" s="4">
        <f t="shared" si="29"/>
        <v>0.77838577291381672</v>
      </c>
      <c r="X45" s="4">
        <f t="shared" si="29"/>
        <v>0.79085861430755611</v>
      </c>
      <c r="Y45" s="15"/>
      <c r="Z45" s="15"/>
      <c r="AA45" s="4">
        <f t="shared" si="29"/>
        <v>0.77671378628970966</v>
      </c>
      <c r="AB45" s="4">
        <f t="shared" si="29"/>
        <v>0.75930592555259557</v>
      </c>
      <c r="AC45" s="4">
        <f t="shared" si="29"/>
        <v>0.72134062927496578</v>
      </c>
      <c r="AD45" s="4">
        <f t="shared" si="29"/>
        <v>0.72952902091068983</v>
      </c>
      <c r="AE45" s="4">
        <f t="shared" si="29"/>
        <v>0.82141524685984335</v>
      </c>
      <c r="AF45" s="15"/>
      <c r="AG45" s="32"/>
    </row>
    <row r="46" spans="1:33" ht="15.75" thickBot="1" x14ac:dyDescent="0.3">
      <c r="A46" s="20"/>
      <c r="B46" s="7"/>
      <c r="C46" s="7"/>
      <c r="D46" s="16"/>
      <c r="E46" s="88"/>
      <c r="F46" s="26"/>
      <c r="G46" s="7"/>
      <c r="H46" s="7"/>
      <c r="I46" s="7"/>
      <c r="J46" s="72"/>
      <c r="K46" s="90"/>
      <c r="L46" s="16"/>
      <c r="M46" s="7"/>
      <c r="N46" s="7"/>
      <c r="O46" s="7"/>
      <c r="P46" s="7"/>
      <c r="Q46" s="72"/>
      <c r="R46" s="90"/>
      <c r="S46" s="16"/>
      <c r="T46" s="7"/>
      <c r="U46" s="7"/>
      <c r="V46" s="7"/>
      <c r="W46" s="7"/>
      <c r="X46" s="72"/>
      <c r="Y46" s="90"/>
      <c r="Z46" s="16"/>
      <c r="AA46" s="82"/>
      <c r="AB46" s="82"/>
      <c r="AC46" s="7"/>
      <c r="AD46" s="7"/>
      <c r="AE46" s="7"/>
      <c r="AF46" s="55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5">
        <v>31</v>
      </c>
      <c r="AG48" s="32"/>
    </row>
    <row r="49" spans="1:33" x14ac:dyDescent="0.25">
      <c r="A49" s="19" t="s">
        <v>8</v>
      </c>
      <c r="B49" s="121"/>
      <c r="C49" s="114">
        <v>624</v>
      </c>
      <c r="D49" s="115"/>
      <c r="E49" s="115"/>
      <c r="F49" s="114">
        <v>1256</v>
      </c>
      <c r="G49" s="114">
        <v>1288</v>
      </c>
      <c r="H49" s="56">
        <v>1438</v>
      </c>
      <c r="I49" s="56">
        <v>1846</v>
      </c>
      <c r="J49" s="68">
        <v>2574</v>
      </c>
      <c r="K49" s="89"/>
      <c r="L49" s="60"/>
      <c r="M49" s="56">
        <v>2908</v>
      </c>
      <c r="N49" s="56">
        <v>3461</v>
      </c>
      <c r="O49" s="56">
        <v>3824</v>
      </c>
      <c r="P49" s="56">
        <v>3872</v>
      </c>
      <c r="Q49" s="68">
        <v>5863</v>
      </c>
      <c r="R49" s="89"/>
      <c r="S49" s="60"/>
      <c r="T49" s="56">
        <v>6032</v>
      </c>
      <c r="U49" s="56">
        <v>6251</v>
      </c>
      <c r="V49" s="56">
        <v>6334</v>
      </c>
      <c r="W49" s="56">
        <v>6930</v>
      </c>
      <c r="X49" s="68">
        <v>7106</v>
      </c>
      <c r="Y49" s="89"/>
      <c r="Z49" s="60"/>
      <c r="AA49" s="80">
        <v>7300</v>
      </c>
      <c r="AB49" s="80">
        <v>7649</v>
      </c>
      <c r="AC49" s="56">
        <v>8042</v>
      </c>
      <c r="AD49" s="56">
        <v>8475</v>
      </c>
      <c r="AE49" s="56">
        <v>8879</v>
      </c>
      <c r="AF49" s="61"/>
      <c r="AG49" s="32"/>
    </row>
    <row r="50" spans="1:33" x14ac:dyDescent="0.25">
      <c r="A50" s="19" t="s">
        <v>1</v>
      </c>
      <c r="B50" s="52">
        <v>515</v>
      </c>
      <c r="C50" s="52">
        <f>B50+515</f>
        <v>1030</v>
      </c>
      <c r="D50" s="63"/>
      <c r="E50" s="63"/>
      <c r="F50" s="52">
        <f>C50+515</f>
        <v>1545</v>
      </c>
      <c r="G50" s="52">
        <f>F50+515</f>
        <v>2060</v>
      </c>
      <c r="H50" s="52">
        <f t="shared" ref="H50:J50" si="30">G50+515</f>
        <v>2575</v>
      </c>
      <c r="I50" s="52">
        <f t="shared" si="30"/>
        <v>3090</v>
      </c>
      <c r="J50" s="52">
        <f t="shared" si="30"/>
        <v>3605</v>
      </c>
      <c r="K50" s="85"/>
      <c r="L50" s="85"/>
      <c r="M50" s="71">
        <f>J50+515</f>
        <v>4120</v>
      </c>
      <c r="N50" s="71">
        <f>M50+515</f>
        <v>4635</v>
      </c>
      <c r="O50" s="71">
        <f t="shared" ref="O50:Q50" si="31">N50+515</f>
        <v>5150</v>
      </c>
      <c r="P50" s="71">
        <f t="shared" si="31"/>
        <v>5665</v>
      </c>
      <c r="Q50" s="71">
        <f t="shared" si="31"/>
        <v>6180</v>
      </c>
      <c r="R50" s="85"/>
      <c r="S50" s="85"/>
      <c r="T50" s="71">
        <f>Q50+515</f>
        <v>6695</v>
      </c>
      <c r="U50" s="71">
        <f>T50+515</f>
        <v>7210</v>
      </c>
      <c r="V50" s="71">
        <f t="shared" ref="V50:X50" si="32">U50+515</f>
        <v>7725</v>
      </c>
      <c r="W50" s="71">
        <f t="shared" si="32"/>
        <v>8240</v>
      </c>
      <c r="X50" s="71">
        <f t="shared" si="32"/>
        <v>8755</v>
      </c>
      <c r="Y50" s="85"/>
      <c r="Z50" s="85"/>
      <c r="AA50" s="71">
        <f>X50+515</f>
        <v>9270</v>
      </c>
      <c r="AB50" s="71">
        <f>AA50+515</f>
        <v>9785</v>
      </c>
      <c r="AC50" s="71">
        <f t="shared" ref="AC50:AE50" si="33">AB50+515</f>
        <v>10300</v>
      </c>
      <c r="AD50" s="71">
        <f t="shared" si="33"/>
        <v>10815</v>
      </c>
      <c r="AE50" s="71">
        <f t="shared" si="33"/>
        <v>11330</v>
      </c>
      <c r="AF50" s="91"/>
      <c r="AG50" s="32"/>
    </row>
    <row r="51" spans="1:33" x14ac:dyDescent="0.25">
      <c r="A51" s="19" t="s">
        <v>2</v>
      </c>
      <c r="B51" s="4">
        <f>B49/B50</f>
        <v>0</v>
      </c>
      <c r="C51" s="4">
        <f t="shared" ref="C51:AE51" si="34">C49/C50</f>
        <v>0.60582524271844662</v>
      </c>
      <c r="D51" s="15"/>
      <c r="E51" s="15"/>
      <c r="F51" s="4">
        <f t="shared" si="34"/>
        <v>0.81294498381877023</v>
      </c>
      <c r="G51" s="4">
        <f t="shared" si="34"/>
        <v>0.62524271844660195</v>
      </c>
      <c r="H51" s="4">
        <f t="shared" si="34"/>
        <v>0.55844660194174756</v>
      </c>
      <c r="I51" s="4">
        <f t="shared" si="34"/>
        <v>0.59741100323624596</v>
      </c>
      <c r="J51" s="4">
        <f t="shared" si="34"/>
        <v>0.71400832177531204</v>
      </c>
      <c r="K51" s="15"/>
      <c r="L51" s="15"/>
      <c r="M51" s="4">
        <f t="shared" si="34"/>
        <v>0.7058252427184466</v>
      </c>
      <c r="N51" s="4">
        <f t="shared" si="34"/>
        <v>0.74670981661272928</v>
      </c>
      <c r="O51" s="4">
        <f t="shared" si="34"/>
        <v>0.74252427184466019</v>
      </c>
      <c r="P51" s="4">
        <f t="shared" si="34"/>
        <v>0.68349514563106795</v>
      </c>
      <c r="Q51" s="4">
        <f t="shared" si="34"/>
        <v>0.94870550161812295</v>
      </c>
      <c r="R51" s="15"/>
      <c r="S51" s="15"/>
      <c r="T51" s="4">
        <f t="shared" si="34"/>
        <v>0.90097087378640772</v>
      </c>
      <c r="U51" s="4">
        <f t="shared" si="34"/>
        <v>0.86699029126213589</v>
      </c>
      <c r="V51" s="4">
        <f t="shared" si="34"/>
        <v>0.81993527508090613</v>
      </c>
      <c r="W51" s="4">
        <f t="shared" si="34"/>
        <v>0.84101941747572817</v>
      </c>
      <c r="X51" s="4">
        <f t="shared" si="34"/>
        <v>0.81165048543689322</v>
      </c>
      <c r="Y51" s="15"/>
      <c r="Z51" s="15"/>
      <c r="AA51" s="4">
        <f t="shared" si="34"/>
        <v>0.78748651564185546</v>
      </c>
      <c r="AB51" s="4">
        <f t="shared" si="34"/>
        <v>0.78170669391926417</v>
      </c>
      <c r="AC51" s="4">
        <f t="shared" si="34"/>
        <v>0.78077669902912616</v>
      </c>
      <c r="AD51" s="4">
        <f t="shared" si="34"/>
        <v>0.78363384188626906</v>
      </c>
      <c r="AE51" s="4">
        <f t="shared" si="34"/>
        <v>0.78367166813768752</v>
      </c>
      <c r="AF51" s="15"/>
      <c r="AG51" s="32"/>
    </row>
    <row r="52" spans="1:33" ht="15.75" thickBot="1" x14ac:dyDescent="0.3">
      <c r="A52" s="20"/>
      <c r="B52" s="7"/>
      <c r="C52" s="7"/>
      <c r="D52" s="16"/>
      <c r="E52" s="88"/>
      <c r="F52" s="26"/>
      <c r="G52" s="7"/>
      <c r="H52" s="7"/>
      <c r="I52" s="7"/>
      <c r="J52" s="72"/>
      <c r="K52" s="90"/>
      <c r="L52" s="16"/>
      <c r="M52" s="7"/>
      <c r="N52" s="7"/>
      <c r="O52" s="7"/>
      <c r="P52" s="7"/>
      <c r="Q52" s="72"/>
      <c r="R52" s="90"/>
      <c r="S52" s="16"/>
      <c r="T52" s="7"/>
      <c r="U52" s="7"/>
      <c r="V52" s="7"/>
      <c r="W52" s="7"/>
      <c r="X52" s="72"/>
      <c r="Y52" s="90"/>
      <c r="Z52" s="16"/>
      <c r="AA52" s="82"/>
      <c r="AB52" s="82"/>
      <c r="AC52" s="7"/>
      <c r="AD52" s="7"/>
      <c r="AE52" s="7"/>
      <c r="AF52" s="55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5">
        <v>31</v>
      </c>
      <c r="AG55" s="32"/>
    </row>
    <row r="56" spans="1:33" x14ac:dyDescent="0.25">
      <c r="A56" s="19" t="s">
        <v>8</v>
      </c>
      <c r="B56" s="121"/>
      <c r="C56" s="116">
        <v>4522</v>
      </c>
      <c r="D56" s="117"/>
      <c r="E56" s="117"/>
      <c r="F56" s="116">
        <v>8628</v>
      </c>
      <c r="G56" s="116">
        <v>8884</v>
      </c>
      <c r="H56" s="56">
        <v>14271</v>
      </c>
      <c r="I56" s="56">
        <v>15733</v>
      </c>
      <c r="J56" s="68">
        <v>17990</v>
      </c>
      <c r="K56" s="89"/>
      <c r="L56" s="60"/>
      <c r="M56" s="56">
        <v>19231</v>
      </c>
      <c r="N56" s="56">
        <v>22031</v>
      </c>
      <c r="O56" s="56">
        <v>23333</v>
      </c>
      <c r="P56" s="56">
        <v>30292</v>
      </c>
      <c r="Q56" s="68">
        <v>33202</v>
      </c>
      <c r="R56" s="89"/>
      <c r="S56" s="60"/>
      <c r="T56" s="56">
        <v>35233</v>
      </c>
      <c r="U56" s="56">
        <v>37951</v>
      </c>
      <c r="V56" s="56">
        <v>39401</v>
      </c>
      <c r="W56" s="56">
        <v>39747</v>
      </c>
      <c r="X56" s="68">
        <v>44791</v>
      </c>
      <c r="Y56" s="89"/>
      <c r="Z56" s="60"/>
      <c r="AA56" s="80">
        <v>45259</v>
      </c>
      <c r="AB56" s="80">
        <v>47890</v>
      </c>
      <c r="AC56" s="56">
        <v>48944</v>
      </c>
      <c r="AD56" s="56">
        <v>50531</v>
      </c>
      <c r="AE56" s="56">
        <v>56837</v>
      </c>
      <c r="AF56" s="61"/>
      <c r="AG56" s="32"/>
    </row>
    <row r="57" spans="1:33" x14ac:dyDescent="0.25">
      <c r="A57" s="19" t="s">
        <v>1</v>
      </c>
      <c r="B57" s="52">
        <v>2004</v>
      </c>
      <c r="C57" s="52">
        <f>B57+2004</f>
        <v>4008</v>
      </c>
      <c r="D57" s="63"/>
      <c r="E57" s="63"/>
      <c r="F57" s="52">
        <f>C57+2004</f>
        <v>6012</v>
      </c>
      <c r="G57" s="52">
        <f>F57+2004</f>
        <v>8016</v>
      </c>
      <c r="H57" s="52">
        <f t="shared" ref="H57:J57" si="35">G57+2004</f>
        <v>10020</v>
      </c>
      <c r="I57" s="52">
        <f t="shared" si="35"/>
        <v>12024</v>
      </c>
      <c r="J57" s="52">
        <f t="shared" si="35"/>
        <v>14028</v>
      </c>
      <c r="K57" s="85"/>
      <c r="L57" s="85"/>
      <c r="M57" s="71">
        <f>J57+2004</f>
        <v>16032</v>
      </c>
      <c r="N57" s="71">
        <f>M57+2004</f>
        <v>18036</v>
      </c>
      <c r="O57" s="71">
        <f t="shared" ref="O57:Q57" si="36">N57+2004</f>
        <v>20040</v>
      </c>
      <c r="P57" s="71">
        <f t="shared" si="36"/>
        <v>22044</v>
      </c>
      <c r="Q57" s="71">
        <f t="shared" si="36"/>
        <v>24048</v>
      </c>
      <c r="R57" s="85"/>
      <c r="S57" s="85"/>
      <c r="T57" s="71">
        <f>Q57+2004</f>
        <v>26052</v>
      </c>
      <c r="U57" s="71">
        <f>T57+2004</f>
        <v>28056</v>
      </c>
      <c r="V57" s="71">
        <f t="shared" ref="V57:X57" si="37">U57+2004</f>
        <v>30060</v>
      </c>
      <c r="W57" s="71">
        <f t="shared" si="37"/>
        <v>32064</v>
      </c>
      <c r="X57" s="71">
        <f t="shared" si="37"/>
        <v>34068</v>
      </c>
      <c r="Y57" s="85"/>
      <c r="Z57" s="85"/>
      <c r="AA57" s="71">
        <f>X57+2004</f>
        <v>36072</v>
      </c>
      <c r="AB57" s="71">
        <f>AA57+2004</f>
        <v>38076</v>
      </c>
      <c r="AC57" s="71">
        <f t="shared" ref="AC57:AE57" si="38">AB57+2004</f>
        <v>40080</v>
      </c>
      <c r="AD57" s="71">
        <f t="shared" si="38"/>
        <v>42084</v>
      </c>
      <c r="AE57" s="71">
        <f t="shared" si="38"/>
        <v>44088</v>
      </c>
      <c r="AF57" s="91"/>
      <c r="AG57" s="32"/>
    </row>
    <row r="58" spans="1:33" x14ac:dyDescent="0.25">
      <c r="A58" s="19" t="s">
        <v>2</v>
      </c>
      <c r="B58" s="4">
        <f>B56/B57</f>
        <v>0</v>
      </c>
      <c r="C58" s="4">
        <f t="shared" ref="C58:AE58" si="39">C56/C57</f>
        <v>1.1282435129740518</v>
      </c>
      <c r="D58" s="15"/>
      <c r="E58" s="15"/>
      <c r="F58" s="4">
        <f t="shared" si="39"/>
        <v>1.435129740518962</v>
      </c>
      <c r="G58" s="4">
        <f t="shared" si="39"/>
        <v>1.1082834331337326</v>
      </c>
      <c r="H58" s="4">
        <f t="shared" si="39"/>
        <v>1.4242514970059881</v>
      </c>
      <c r="I58" s="4">
        <f t="shared" si="39"/>
        <v>1.3084664005322688</v>
      </c>
      <c r="J58" s="4">
        <f t="shared" si="39"/>
        <v>1.282435129740519</v>
      </c>
      <c r="K58" s="15"/>
      <c r="L58" s="15"/>
      <c r="M58" s="4">
        <f t="shared" si="39"/>
        <v>1.1995384231536925</v>
      </c>
      <c r="N58" s="4">
        <f t="shared" si="39"/>
        <v>1.2215014415613219</v>
      </c>
      <c r="O58" s="4">
        <f t="shared" si="39"/>
        <v>1.1643213572854292</v>
      </c>
      <c r="P58" s="4">
        <f t="shared" si="39"/>
        <v>1.3741607693703501</v>
      </c>
      <c r="Q58" s="4">
        <f t="shared" si="39"/>
        <v>1.3806553559547572</v>
      </c>
      <c r="R58" s="15"/>
      <c r="S58" s="15"/>
      <c r="T58" s="4">
        <f t="shared" si="39"/>
        <v>1.3524105634884078</v>
      </c>
      <c r="U58" s="4">
        <f t="shared" si="39"/>
        <v>1.3526874821785002</v>
      </c>
      <c r="V58" s="4">
        <f t="shared" si="39"/>
        <v>1.3107451763140385</v>
      </c>
      <c r="W58" s="4">
        <f t="shared" si="39"/>
        <v>1.2396145209580838</v>
      </c>
      <c r="X58" s="4">
        <f t="shared" si="39"/>
        <v>1.3147528472466832</v>
      </c>
      <c r="Y58" s="15"/>
      <c r="Z58" s="15"/>
      <c r="AA58" s="4">
        <f t="shared" si="39"/>
        <v>1.2546850742958526</v>
      </c>
      <c r="AB58" s="4">
        <f t="shared" si="39"/>
        <v>1.2577476625695976</v>
      </c>
      <c r="AC58" s="4">
        <f t="shared" si="39"/>
        <v>1.2211576846307386</v>
      </c>
      <c r="AD58" s="4">
        <f t="shared" si="39"/>
        <v>1.2007176123942591</v>
      </c>
      <c r="AE58" s="4">
        <f t="shared" si="39"/>
        <v>1.2891716566866267</v>
      </c>
      <c r="AF58" s="15"/>
      <c r="AG58" s="32"/>
    </row>
    <row r="59" spans="1:33" ht="15.75" thickBot="1" x14ac:dyDescent="0.3">
      <c r="A59" s="20"/>
      <c r="B59" s="7"/>
      <c r="C59" s="7"/>
      <c r="D59" s="16"/>
      <c r="E59" s="88"/>
      <c r="F59" s="26"/>
      <c r="G59" s="7"/>
      <c r="H59" s="7"/>
      <c r="I59" s="7"/>
      <c r="J59" s="72"/>
      <c r="K59" s="90"/>
      <c r="L59" s="16"/>
      <c r="M59" s="7"/>
      <c r="N59" s="7"/>
      <c r="O59" s="7"/>
      <c r="P59" s="7"/>
      <c r="Q59" s="72"/>
      <c r="R59" s="90"/>
      <c r="S59" s="16"/>
      <c r="T59" s="7"/>
      <c r="U59" s="7"/>
      <c r="V59" s="7"/>
      <c r="W59" s="7"/>
      <c r="X59" s="72"/>
      <c r="Y59" s="90"/>
      <c r="Z59" s="16"/>
      <c r="AA59" s="82"/>
      <c r="AB59" s="82"/>
      <c r="AC59" s="7"/>
      <c r="AD59" s="7"/>
      <c r="AE59" s="7"/>
      <c r="AF59" s="55"/>
      <c r="AG59" s="32"/>
    </row>
    <row r="60" spans="1:33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  <c r="AG60" s="32"/>
    </row>
    <row r="61" spans="1:33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  <c r="AF62" s="6">
        <v>31</v>
      </c>
    </row>
    <row r="63" spans="1:33" x14ac:dyDescent="0.25">
      <c r="A63" s="19" t="s">
        <v>8</v>
      </c>
      <c r="B63" s="121"/>
      <c r="C63" s="120">
        <v>762</v>
      </c>
      <c r="D63" s="121"/>
      <c r="E63" s="121"/>
      <c r="F63" s="120">
        <v>1267</v>
      </c>
      <c r="G63" s="120">
        <v>1557</v>
      </c>
      <c r="H63" s="56">
        <v>2895</v>
      </c>
      <c r="I63" s="56">
        <v>3194</v>
      </c>
      <c r="J63" s="68">
        <v>4964</v>
      </c>
      <c r="K63" s="89"/>
      <c r="L63" s="60"/>
      <c r="M63" s="56">
        <v>5648</v>
      </c>
      <c r="N63" s="56">
        <v>6089</v>
      </c>
      <c r="O63" s="56">
        <v>6491</v>
      </c>
      <c r="P63" s="56">
        <v>7750</v>
      </c>
      <c r="Q63" s="68">
        <v>8389</v>
      </c>
      <c r="R63" s="89"/>
      <c r="S63" s="60"/>
      <c r="T63" s="56">
        <v>10125</v>
      </c>
      <c r="U63" s="56">
        <v>11329</v>
      </c>
      <c r="V63" s="56">
        <v>11695</v>
      </c>
      <c r="W63" s="56">
        <v>12711</v>
      </c>
      <c r="X63" s="68">
        <v>13765</v>
      </c>
      <c r="Y63" s="89"/>
      <c r="Z63" s="60"/>
      <c r="AA63" s="80">
        <v>14207</v>
      </c>
      <c r="AB63" s="80">
        <v>15160</v>
      </c>
      <c r="AC63" s="56">
        <v>16121</v>
      </c>
      <c r="AD63" s="56">
        <v>18147</v>
      </c>
      <c r="AE63" s="56">
        <v>20329</v>
      </c>
      <c r="AF63" s="61"/>
    </row>
    <row r="64" spans="1:33" x14ac:dyDescent="0.25">
      <c r="A64" s="19" t="s">
        <v>1</v>
      </c>
      <c r="B64" s="52">
        <v>913</v>
      </c>
      <c r="C64" s="52">
        <f>B64+913</f>
        <v>1826</v>
      </c>
      <c r="D64" s="63"/>
      <c r="E64" s="63"/>
      <c r="F64" s="52">
        <f>C64+913</f>
        <v>2739</v>
      </c>
      <c r="G64" s="52">
        <f>F64+913</f>
        <v>3652</v>
      </c>
      <c r="H64" s="52">
        <f t="shared" ref="H64:J64" si="40">G64+913</f>
        <v>4565</v>
      </c>
      <c r="I64" s="52">
        <f t="shared" si="40"/>
        <v>5478</v>
      </c>
      <c r="J64" s="52">
        <f t="shared" si="40"/>
        <v>6391</v>
      </c>
      <c r="K64" s="85"/>
      <c r="L64" s="85"/>
      <c r="M64" s="71">
        <f>J64+913</f>
        <v>7304</v>
      </c>
      <c r="N64" s="71">
        <f>M64+913</f>
        <v>8217</v>
      </c>
      <c r="O64" s="71">
        <f t="shared" ref="O64:Q64" si="41">N64+913</f>
        <v>9130</v>
      </c>
      <c r="P64" s="71">
        <f t="shared" si="41"/>
        <v>10043</v>
      </c>
      <c r="Q64" s="71">
        <f t="shared" si="41"/>
        <v>10956</v>
      </c>
      <c r="R64" s="85"/>
      <c r="S64" s="85"/>
      <c r="T64" s="71">
        <f>Q64+913</f>
        <v>11869</v>
      </c>
      <c r="U64" s="71">
        <f>T64+913</f>
        <v>12782</v>
      </c>
      <c r="V64" s="71">
        <f t="shared" ref="V64:X64" si="42">U64+913</f>
        <v>13695</v>
      </c>
      <c r="W64" s="71">
        <f t="shared" si="42"/>
        <v>14608</v>
      </c>
      <c r="X64" s="71">
        <f t="shared" si="42"/>
        <v>15521</v>
      </c>
      <c r="Y64" s="85"/>
      <c r="Z64" s="85"/>
      <c r="AA64" s="71">
        <f>X64+913</f>
        <v>16434</v>
      </c>
      <c r="AB64" s="71">
        <f>AA64+913</f>
        <v>17347</v>
      </c>
      <c r="AC64" s="71">
        <f t="shared" ref="AC64:AE64" si="43">AB64+913</f>
        <v>18260</v>
      </c>
      <c r="AD64" s="71">
        <f t="shared" si="43"/>
        <v>19173</v>
      </c>
      <c r="AE64" s="71">
        <f t="shared" si="43"/>
        <v>20086</v>
      </c>
      <c r="AF64" s="91"/>
    </row>
    <row r="65" spans="1:32" x14ac:dyDescent="0.25">
      <c r="A65" s="19" t="s">
        <v>2</v>
      </c>
      <c r="B65" s="4">
        <f>B63/B64</f>
        <v>0</v>
      </c>
      <c r="C65" s="4">
        <f t="shared" ref="C65:AE65" si="44">C63/C64</f>
        <v>0.41730558598028478</v>
      </c>
      <c r="D65" s="15"/>
      <c r="E65" s="15"/>
      <c r="F65" s="4">
        <f t="shared" si="44"/>
        <v>0.46257758305951074</v>
      </c>
      <c r="G65" s="4">
        <f t="shared" si="44"/>
        <v>0.42634173055859803</v>
      </c>
      <c r="H65" s="4">
        <f t="shared" si="44"/>
        <v>0.63417305585980288</v>
      </c>
      <c r="I65" s="4">
        <f t="shared" si="44"/>
        <v>0.58305951077035412</v>
      </c>
      <c r="J65" s="4">
        <f t="shared" si="44"/>
        <v>0.77671725864496954</v>
      </c>
      <c r="K65" s="15"/>
      <c r="L65" s="15"/>
      <c r="M65" s="4">
        <f t="shared" si="44"/>
        <v>0.7732749178532311</v>
      </c>
      <c r="N65" s="4">
        <f t="shared" si="44"/>
        <v>0.74102470488012662</v>
      </c>
      <c r="O65" s="4">
        <f t="shared" si="44"/>
        <v>0.71095290251916754</v>
      </c>
      <c r="P65" s="4">
        <f t="shared" si="44"/>
        <v>0.77168176839589764</v>
      </c>
      <c r="Q65" s="4">
        <f t="shared" si="44"/>
        <v>0.76569916027747353</v>
      </c>
      <c r="R65" s="15"/>
      <c r="S65" s="15"/>
      <c r="T65" s="4">
        <f t="shared" si="44"/>
        <v>0.8530626000505519</v>
      </c>
      <c r="U65" s="4">
        <f t="shared" si="44"/>
        <v>0.88632451885463936</v>
      </c>
      <c r="V65" s="4">
        <f t="shared" si="44"/>
        <v>0.85396129974443225</v>
      </c>
      <c r="W65" s="4">
        <f t="shared" si="44"/>
        <v>0.87013964950711942</v>
      </c>
      <c r="X65" s="4">
        <f t="shared" si="44"/>
        <v>0.88686295986083374</v>
      </c>
      <c r="Y65" s="15"/>
      <c r="Z65" s="15"/>
      <c r="AA65" s="4">
        <f t="shared" si="44"/>
        <v>0.86448825605452106</v>
      </c>
      <c r="AB65" s="4">
        <f t="shared" si="44"/>
        <v>0.87392632731884479</v>
      </c>
      <c r="AC65" s="4">
        <f t="shared" si="44"/>
        <v>0.88285870755750273</v>
      </c>
      <c r="AD65" s="4">
        <f t="shared" si="44"/>
        <v>0.94648724769206694</v>
      </c>
      <c r="AE65" s="4">
        <f t="shared" si="44"/>
        <v>1.012097978691626</v>
      </c>
      <c r="AF65" s="15"/>
    </row>
    <row r="66" spans="1:32" ht="15.75" thickBot="1" x14ac:dyDescent="0.3">
      <c r="A66" s="20"/>
      <c r="B66" s="7"/>
      <c r="C66" s="7"/>
      <c r="D66" s="16"/>
      <c r="E66" s="88"/>
      <c r="F66" s="26"/>
      <c r="G66" s="7"/>
      <c r="H66" s="7"/>
      <c r="I66" s="7"/>
      <c r="J66" s="72"/>
      <c r="K66" s="90"/>
      <c r="L66" s="16"/>
      <c r="M66" s="7"/>
      <c r="N66" s="7"/>
      <c r="O66" s="7"/>
      <c r="P66" s="7"/>
      <c r="Q66" s="72"/>
      <c r="R66" s="90"/>
      <c r="S66" s="16"/>
      <c r="T66" s="7"/>
      <c r="U66" s="7"/>
      <c r="V66" s="7"/>
      <c r="W66" s="7"/>
      <c r="X66" s="72"/>
      <c r="Y66" s="90"/>
      <c r="Z66" s="16"/>
      <c r="AA66" s="82"/>
      <c r="AB66" s="82"/>
      <c r="AC66" s="7"/>
      <c r="AD66" s="7"/>
      <c r="AE66" s="7"/>
      <c r="AF66" s="55"/>
    </row>
    <row r="68" spans="1:32" ht="15.75" thickBot="1" x14ac:dyDescent="0.3"/>
    <row r="69" spans="1:32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  <c r="AF69" s="6">
        <v>31</v>
      </c>
    </row>
    <row r="70" spans="1:32" x14ac:dyDescent="0.25">
      <c r="A70" s="19" t="s">
        <v>8</v>
      </c>
      <c r="B70" s="121"/>
      <c r="C70" s="118">
        <v>406</v>
      </c>
      <c r="D70" s="119"/>
      <c r="E70" s="119"/>
      <c r="F70" s="118">
        <v>719</v>
      </c>
      <c r="G70" s="118">
        <v>1942</v>
      </c>
      <c r="H70" s="56">
        <v>3759</v>
      </c>
      <c r="I70" s="56">
        <v>5227</v>
      </c>
      <c r="J70" s="68">
        <v>5856</v>
      </c>
      <c r="K70" s="89"/>
      <c r="L70" s="60"/>
      <c r="M70" s="56">
        <v>5904</v>
      </c>
      <c r="N70" s="56">
        <v>7580</v>
      </c>
      <c r="O70" s="56">
        <v>8593</v>
      </c>
      <c r="P70" s="56">
        <v>8734</v>
      </c>
      <c r="Q70" s="68">
        <v>9835</v>
      </c>
      <c r="R70" s="89"/>
      <c r="S70" s="60"/>
      <c r="T70" s="56">
        <v>9931</v>
      </c>
      <c r="U70" s="56">
        <v>10790</v>
      </c>
      <c r="V70" s="56">
        <v>12249</v>
      </c>
      <c r="W70" s="56">
        <v>12619</v>
      </c>
      <c r="X70" s="68">
        <v>13470</v>
      </c>
      <c r="Y70" s="89"/>
      <c r="Z70" s="60"/>
      <c r="AA70" s="80">
        <v>15483</v>
      </c>
      <c r="AB70" s="80">
        <v>15509</v>
      </c>
      <c r="AC70" s="56">
        <v>15509</v>
      </c>
      <c r="AD70" s="56">
        <v>16690</v>
      </c>
      <c r="AE70" s="56">
        <v>19424</v>
      </c>
      <c r="AF70" s="61"/>
    </row>
    <row r="71" spans="1:32" x14ac:dyDescent="0.25">
      <c r="A71" s="19" t="s">
        <v>1</v>
      </c>
      <c r="B71" s="52">
        <v>861</v>
      </c>
      <c r="C71" s="52">
        <f>B71+861</f>
        <v>1722</v>
      </c>
      <c r="D71" s="63"/>
      <c r="E71" s="63"/>
      <c r="F71" s="52">
        <f>C71+861</f>
        <v>2583</v>
      </c>
      <c r="G71" s="52">
        <f>F71+861</f>
        <v>3444</v>
      </c>
      <c r="H71" s="52">
        <f t="shared" ref="H71:J71" si="45">G71+861</f>
        <v>4305</v>
      </c>
      <c r="I71" s="52">
        <f t="shared" si="45"/>
        <v>5166</v>
      </c>
      <c r="J71" s="52">
        <f t="shared" si="45"/>
        <v>6027</v>
      </c>
      <c r="K71" s="85"/>
      <c r="L71" s="85"/>
      <c r="M71" s="71">
        <f>J71+861</f>
        <v>6888</v>
      </c>
      <c r="N71" s="71">
        <f>M71+861</f>
        <v>7749</v>
      </c>
      <c r="O71" s="71">
        <f t="shared" ref="O71:Q71" si="46">N71+861</f>
        <v>8610</v>
      </c>
      <c r="P71" s="71">
        <f t="shared" si="46"/>
        <v>9471</v>
      </c>
      <c r="Q71" s="71">
        <f t="shared" si="46"/>
        <v>10332</v>
      </c>
      <c r="R71" s="85"/>
      <c r="S71" s="85"/>
      <c r="T71" s="71">
        <f>Q71+861</f>
        <v>11193</v>
      </c>
      <c r="U71" s="71">
        <f>T71+861</f>
        <v>12054</v>
      </c>
      <c r="V71" s="71">
        <f t="shared" ref="V71:X71" si="47">U71+861</f>
        <v>12915</v>
      </c>
      <c r="W71" s="71">
        <f t="shared" si="47"/>
        <v>13776</v>
      </c>
      <c r="X71" s="71">
        <f t="shared" si="47"/>
        <v>14637</v>
      </c>
      <c r="Y71" s="85"/>
      <c r="Z71" s="85"/>
      <c r="AA71" s="71">
        <f>X71+861</f>
        <v>15498</v>
      </c>
      <c r="AB71" s="71">
        <f>AA71+861</f>
        <v>16359</v>
      </c>
      <c r="AC71" s="71">
        <f t="shared" ref="AC71:AE71" si="48">AB71+861</f>
        <v>17220</v>
      </c>
      <c r="AD71" s="71">
        <f t="shared" si="48"/>
        <v>18081</v>
      </c>
      <c r="AE71" s="71">
        <f t="shared" si="48"/>
        <v>18942</v>
      </c>
      <c r="AF71" s="91"/>
    </row>
    <row r="72" spans="1:32" x14ac:dyDescent="0.25">
      <c r="A72" s="19" t="s">
        <v>2</v>
      </c>
      <c r="B72" s="4">
        <f>B70/B71</f>
        <v>0</v>
      </c>
      <c r="C72" s="4">
        <f t="shared" ref="C72:AE72" si="49">C70/C71</f>
        <v>0.23577235772357724</v>
      </c>
      <c r="D72" s="15"/>
      <c r="E72" s="15"/>
      <c r="F72" s="4">
        <f t="shared" si="49"/>
        <v>0.278358497870693</v>
      </c>
      <c r="G72" s="4">
        <f t="shared" si="49"/>
        <v>0.56387921022067367</v>
      </c>
      <c r="H72" s="4">
        <f t="shared" si="49"/>
        <v>0.87317073170731707</v>
      </c>
      <c r="I72" s="4">
        <f t="shared" si="49"/>
        <v>1.0118079752226095</v>
      </c>
      <c r="J72" s="4">
        <f t="shared" si="49"/>
        <v>0.97162767546042805</v>
      </c>
      <c r="K72" s="15"/>
      <c r="L72" s="15"/>
      <c r="M72" s="4">
        <f t="shared" si="49"/>
        <v>0.8571428571428571</v>
      </c>
      <c r="N72" s="4">
        <f t="shared" si="49"/>
        <v>0.97819073428829528</v>
      </c>
      <c r="O72" s="4">
        <f t="shared" si="49"/>
        <v>0.99802555168408824</v>
      </c>
      <c r="P72" s="4">
        <f t="shared" si="49"/>
        <v>0.92218350754936118</v>
      </c>
      <c r="Q72" s="4">
        <f t="shared" si="49"/>
        <v>0.95189701897018975</v>
      </c>
      <c r="R72" s="15"/>
      <c r="S72" s="15"/>
      <c r="T72" s="4">
        <f t="shared" si="49"/>
        <v>0.88725096042169216</v>
      </c>
      <c r="U72" s="4">
        <f t="shared" si="49"/>
        <v>0.8951385432221669</v>
      </c>
      <c r="V72" s="4">
        <f t="shared" si="49"/>
        <v>0.94843205574912892</v>
      </c>
      <c r="W72" s="4">
        <f t="shared" si="49"/>
        <v>0.916013356562137</v>
      </c>
      <c r="X72" s="4">
        <f t="shared" si="49"/>
        <v>0.92027054724328761</v>
      </c>
      <c r="Y72" s="15"/>
      <c r="Z72" s="15"/>
      <c r="AA72" s="4">
        <f t="shared" si="49"/>
        <v>0.99903213317847461</v>
      </c>
      <c r="AB72" s="4">
        <f t="shared" si="49"/>
        <v>0.9480408337917966</v>
      </c>
      <c r="AC72" s="4">
        <f t="shared" si="49"/>
        <v>0.90063879210220676</v>
      </c>
      <c r="AD72" s="4">
        <f t="shared" si="49"/>
        <v>0.923068414357613</v>
      </c>
      <c r="AE72" s="4">
        <f t="shared" si="49"/>
        <v>1.0254460986168303</v>
      </c>
      <c r="AF72" s="15"/>
    </row>
    <row r="73" spans="1:32" ht="15.75" thickBot="1" x14ac:dyDescent="0.3">
      <c r="A73" s="20"/>
      <c r="B73" s="7"/>
      <c r="C73" s="7"/>
      <c r="D73" s="16"/>
      <c r="E73" s="88"/>
      <c r="F73" s="26"/>
      <c r="G73" s="7"/>
      <c r="H73" s="7"/>
      <c r="I73" s="7"/>
      <c r="J73" s="72"/>
      <c r="K73" s="90"/>
      <c r="L73" s="16"/>
      <c r="M73" s="7"/>
      <c r="N73" s="7"/>
      <c r="O73" s="7"/>
      <c r="P73" s="7"/>
      <c r="Q73" s="72"/>
      <c r="R73" s="90"/>
      <c r="S73" s="16"/>
      <c r="T73" s="7"/>
      <c r="U73" s="7"/>
      <c r="V73" s="7"/>
      <c r="W73" s="7"/>
      <c r="X73" s="72"/>
      <c r="Y73" s="90"/>
      <c r="Z73" s="16"/>
      <c r="AA73" s="82"/>
      <c r="AB73" s="82"/>
      <c r="AC73" s="7"/>
      <c r="AD73" s="7"/>
      <c r="AE73" s="7"/>
      <c r="AF73" s="55"/>
    </row>
  </sheetData>
  <mergeCells count="1">
    <mergeCell ref="C1:W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73"/>
  <sheetViews>
    <sheetView topLeftCell="D11" zoomScale="70" zoomScaleNormal="70" workbookViewId="0">
      <selection activeCell="AF39" sqref="AF39"/>
    </sheetView>
  </sheetViews>
  <sheetFormatPr baseColWidth="10" defaultRowHeight="15" x14ac:dyDescent="0.25"/>
  <cols>
    <col min="1" max="1" width="56.7109375" customWidth="1"/>
    <col min="2" max="26" width="8.7109375" customWidth="1"/>
    <col min="27" max="27" width="10" style="39" customWidth="1"/>
    <col min="28" max="28" width="9.7109375" style="39" customWidth="1"/>
    <col min="29" max="30" width="8.7109375" customWidth="1"/>
    <col min="31" max="31" width="10.140625" bestFit="1" customWidth="1"/>
  </cols>
  <sheetData>
    <row r="1" spans="1:36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</row>
    <row r="3" spans="1:36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</row>
    <row r="4" spans="1:36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>
        <f>20</f>
        <v>20</v>
      </c>
    </row>
    <row r="5" spans="1:36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</row>
    <row r="6" spans="1:36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57"/>
      <c r="AG6" s="8"/>
      <c r="AH6" s="8"/>
      <c r="AI6" s="8"/>
      <c r="AJ6" s="8"/>
    </row>
    <row r="7" spans="1:36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7"/>
      <c r="AG7" s="27"/>
      <c r="AH7" s="9"/>
      <c r="AI7" s="27"/>
      <c r="AJ7" s="9"/>
    </row>
    <row r="8" spans="1:36" x14ac:dyDescent="0.25">
      <c r="A8" s="19" t="s">
        <v>8</v>
      </c>
      <c r="B8" s="60"/>
      <c r="C8" s="59"/>
      <c r="D8" s="56">
        <v>2238</v>
      </c>
      <c r="E8" s="56">
        <v>5736</v>
      </c>
      <c r="F8" s="56">
        <v>10190</v>
      </c>
      <c r="G8" s="56">
        <v>18258</v>
      </c>
      <c r="H8" s="60"/>
      <c r="I8" s="60"/>
      <c r="J8" s="68">
        <v>20592</v>
      </c>
      <c r="K8" s="69">
        <v>24163</v>
      </c>
      <c r="L8" s="56">
        <v>28956</v>
      </c>
      <c r="M8" s="56">
        <v>33419</v>
      </c>
      <c r="N8" s="56">
        <v>37928</v>
      </c>
      <c r="O8" s="60"/>
      <c r="P8" s="60"/>
      <c r="Q8" s="68">
        <v>41756</v>
      </c>
      <c r="R8" s="69">
        <v>44194</v>
      </c>
      <c r="S8" s="56">
        <v>52055</v>
      </c>
      <c r="T8" s="56">
        <v>55647</v>
      </c>
      <c r="U8" s="56">
        <v>65765</v>
      </c>
      <c r="V8" s="60"/>
      <c r="W8" s="60"/>
      <c r="X8" s="68">
        <v>68856</v>
      </c>
      <c r="Y8" s="69">
        <v>73063</v>
      </c>
      <c r="Z8" s="56">
        <v>78282</v>
      </c>
      <c r="AA8" s="80">
        <v>82656</v>
      </c>
      <c r="AB8" s="80">
        <v>86731</v>
      </c>
      <c r="AC8" s="60"/>
      <c r="AD8" s="60"/>
      <c r="AE8" s="68">
        <v>89510</v>
      </c>
      <c r="AF8" s="58"/>
      <c r="AG8" s="2"/>
      <c r="AH8" s="2"/>
      <c r="AI8" s="2"/>
      <c r="AJ8" s="10"/>
    </row>
    <row r="9" spans="1:36" x14ac:dyDescent="0.25">
      <c r="A9" s="19" t="s">
        <v>1</v>
      </c>
      <c r="B9" s="63"/>
      <c r="C9" s="62"/>
      <c r="D9" s="52">
        <v>5856</v>
      </c>
      <c r="E9" s="52">
        <f>D9+5856</f>
        <v>11712</v>
      </c>
      <c r="F9" s="52">
        <f t="shared" ref="F9:G9" si="0">E9+5856</f>
        <v>17568</v>
      </c>
      <c r="G9" s="52">
        <f t="shared" si="0"/>
        <v>23424</v>
      </c>
      <c r="H9" s="63"/>
      <c r="I9" s="63"/>
      <c r="J9" s="70">
        <f>G9+5856</f>
        <v>29280</v>
      </c>
      <c r="K9" s="71">
        <f>J9+5856</f>
        <v>35136</v>
      </c>
      <c r="L9" s="71">
        <f t="shared" ref="L9:N9" si="1">K9+5856</f>
        <v>40992</v>
      </c>
      <c r="M9" s="71">
        <f t="shared" si="1"/>
        <v>46848</v>
      </c>
      <c r="N9" s="71">
        <f t="shared" si="1"/>
        <v>52704</v>
      </c>
      <c r="O9" s="63"/>
      <c r="P9" s="63"/>
      <c r="Q9" s="70">
        <f>N9+5856</f>
        <v>58560</v>
      </c>
      <c r="R9" s="71">
        <f>Q9+5856</f>
        <v>64416</v>
      </c>
      <c r="S9" s="71">
        <f t="shared" ref="S9:U9" si="2">R9+5856</f>
        <v>70272</v>
      </c>
      <c r="T9" s="71">
        <f t="shared" si="2"/>
        <v>76128</v>
      </c>
      <c r="U9" s="71">
        <f t="shared" si="2"/>
        <v>81984</v>
      </c>
      <c r="V9" s="63"/>
      <c r="W9" s="63"/>
      <c r="X9" s="70">
        <f>U9+5856</f>
        <v>87840</v>
      </c>
      <c r="Y9" s="71">
        <f>X9+5856</f>
        <v>93696</v>
      </c>
      <c r="Z9" s="71">
        <f t="shared" ref="Z9:AB9" si="3">Y9+5856</f>
        <v>99552</v>
      </c>
      <c r="AA9" s="71">
        <f t="shared" si="3"/>
        <v>105408</v>
      </c>
      <c r="AB9" s="71">
        <f t="shared" si="3"/>
        <v>111264</v>
      </c>
      <c r="AC9" s="63"/>
      <c r="AD9" s="63"/>
      <c r="AE9" s="83">
        <f>AB9+5856</f>
        <v>117120</v>
      </c>
      <c r="AF9" s="58"/>
      <c r="AG9" s="2"/>
      <c r="AH9" s="2"/>
      <c r="AI9" s="2"/>
      <c r="AJ9" s="2"/>
    </row>
    <row r="10" spans="1:36" x14ac:dyDescent="0.25">
      <c r="A10" s="19" t="s">
        <v>2</v>
      </c>
      <c r="B10" s="15"/>
      <c r="C10" s="53"/>
      <c r="D10" s="4">
        <f>D8/D9</f>
        <v>0.38217213114754101</v>
      </c>
      <c r="E10" s="4">
        <f t="shared" ref="E10:AE10" si="4">E8/E9</f>
        <v>0.48975409836065575</v>
      </c>
      <c r="F10" s="4">
        <f t="shared" si="4"/>
        <v>0.58003187613843354</v>
      </c>
      <c r="G10" s="4">
        <f t="shared" si="4"/>
        <v>0.77945696721311475</v>
      </c>
      <c r="H10" s="15"/>
      <c r="I10" s="15"/>
      <c r="J10" s="4">
        <f t="shared" si="4"/>
        <v>0.70327868852459019</v>
      </c>
      <c r="K10" s="4">
        <f t="shared" si="4"/>
        <v>0.68769922586520948</v>
      </c>
      <c r="L10" s="4">
        <f t="shared" si="4"/>
        <v>0.70638173302107732</v>
      </c>
      <c r="M10" s="4">
        <f t="shared" si="4"/>
        <v>0.71334955601092898</v>
      </c>
      <c r="N10" s="4">
        <f t="shared" si="4"/>
        <v>0.7196417729204615</v>
      </c>
      <c r="O10" s="15"/>
      <c r="P10" s="15"/>
      <c r="Q10" s="4">
        <f t="shared" si="4"/>
        <v>0.71304644808743167</v>
      </c>
      <c r="R10" s="4">
        <f t="shared" si="4"/>
        <v>0.68607178340784902</v>
      </c>
      <c r="S10" s="4">
        <f t="shared" si="4"/>
        <v>0.74076445810564662</v>
      </c>
      <c r="T10" s="4">
        <f t="shared" si="4"/>
        <v>0.73096626733921821</v>
      </c>
      <c r="U10" s="4">
        <f t="shared" si="4"/>
        <v>0.80216871584699456</v>
      </c>
      <c r="V10" s="15"/>
      <c r="W10" s="15"/>
      <c r="X10" s="4">
        <f t="shared" si="4"/>
        <v>0.78387978142076498</v>
      </c>
      <c r="Y10" s="4">
        <f t="shared" si="4"/>
        <v>0.77978782445355188</v>
      </c>
      <c r="Z10" s="4">
        <f t="shared" si="4"/>
        <v>0.78634281581485055</v>
      </c>
      <c r="AA10" s="4">
        <f t="shared" si="4"/>
        <v>0.78415300546448086</v>
      </c>
      <c r="AB10" s="4">
        <f t="shared" si="4"/>
        <v>0.7795063991947081</v>
      </c>
      <c r="AC10" s="15"/>
      <c r="AD10" s="15"/>
      <c r="AE10" s="4">
        <f t="shared" si="4"/>
        <v>0.76425887978142082</v>
      </c>
      <c r="AF10" s="11"/>
      <c r="AG10" s="11"/>
      <c r="AH10" s="11"/>
      <c r="AI10" s="11"/>
      <c r="AJ10" s="11"/>
    </row>
    <row r="11" spans="1:36" ht="15.75" thickBot="1" x14ac:dyDescent="0.3">
      <c r="A11" s="20"/>
      <c r="B11" s="16"/>
      <c r="C11" s="54"/>
      <c r="D11" s="7"/>
      <c r="E11" s="26"/>
      <c r="F11" s="26"/>
      <c r="G11" s="7"/>
      <c r="H11" s="16"/>
      <c r="I11" s="16"/>
      <c r="J11" s="72"/>
      <c r="K11" s="73"/>
      <c r="L11" s="7"/>
      <c r="M11" s="7"/>
      <c r="N11" s="7"/>
      <c r="O11" s="16"/>
      <c r="P11" s="16"/>
      <c r="Q11" s="72"/>
      <c r="R11" s="73"/>
      <c r="S11" s="7"/>
      <c r="T11" s="7"/>
      <c r="U11" s="7"/>
      <c r="V11" s="16"/>
      <c r="W11" s="16"/>
      <c r="X11" s="72"/>
      <c r="Y11" s="73"/>
      <c r="Z11" s="7"/>
      <c r="AA11" s="82"/>
      <c r="AB11" s="82"/>
      <c r="AC11" s="16"/>
      <c r="AD11" s="16"/>
      <c r="AE11" s="72"/>
      <c r="AF11" s="11"/>
      <c r="AG11" s="11"/>
      <c r="AH11" s="11"/>
      <c r="AI11" s="11"/>
      <c r="AJ11" s="11"/>
    </row>
    <row r="12" spans="1:36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</row>
    <row r="13" spans="1:36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</row>
    <row r="14" spans="1:36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32"/>
    </row>
    <row r="15" spans="1:36" x14ac:dyDescent="0.25">
      <c r="A15" s="19" t="s">
        <v>8</v>
      </c>
      <c r="B15" s="60"/>
      <c r="C15" s="59"/>
      <c r="D15" s="56">
        <v>0</v>
      </c>
      <c r="E15" s="56">
        <v>288</v>
      </c>
      <c r="F15" s="56">
        <v>1507</v>
      </c>
      <c r="G15" s="56">
        <v>2498</v>
      </c>
      <c r="H15" s="60"/>
      <c r="I15" s="60"/>
      <c r="J15" s="68">
        <v>2832</v>
      </c>
      <c r="K15" s="69">
        <v>3368</v>
      </c>
      <c r="L15" s="56">
        <v>4000</v>
      </c>
      <c r="M15" s="56">
        <v>5495</v>
      </c>
      <c r="N15" s="56">
        <v>5720</v>
      </c>
      <c r="O15" s="60"/>
      <c r="P15" s="60"/>
      <c r="Q15" s="68">
        <v>6260</v>
      </c>
      <c r="R15" s="69">
        <v>6338</v>
      </c>
      <c r="S15" s="56">
        <v>6338</v>
      </c>
      <c r="T15" s="56">
        <v>6338</v>
      </c>
      <c r="U15" s="56">
        <v>6338</v>
      </c>
      <c r="V15" s="60"/>
      <c r="W15" s="60"/>
      <c r="X15" s="68">
        <v>7808</v>
      </c>
      <c r="Y15" s="69">
        <v>9521</v>
      </c>
      <c r="Z15" s="56">
        <v>10744</v>
      </c>
      <c r="AA15" s="80">
        <v>13509</v>
      </c>
      <c r="AB15" s="80">
        <v>14243</v>
      </c>
      <c r="AC15" s="60"/>
      <c r="AD15" s="60"/>
      <c r="AE15" s="68">
        <v>16831</v>
      </c>
      <c r="AF15" s="32"/>
    </row>
    <row r="16" spans="1:36" x14ac:dyDescent="0.25">
      <c r="A16" s="19" t="s">
        <v>1</v>
      </c>
      <c r="B16" s="63"/>
      <c r="C16" s="62"/>
      <c r="D16" s="52">
        <v>792</v>
      </c>
      <c r="E16" s="52">
        <f>D16+792</f>
        <v>1584</v>
      </c>
      <c r="F16" s="52">
        <f t="shared" ref="F16:G16" si="5">E16+792</f>
        <v>2376</v>
      </c>
      <c r="G16" s="52">
        <f t="shared" si="5"/>
        <v>3168</v>
      </c>
      <c r="H16" s="63"/>
      <c r="I16" s="63"/>
      <c r="J16" s="70">
        <f>G16+792</f>
        <v>3960</v>
      </c>
      <c r="K16" s="71">
        <f>J16+792</f>
        <v>4752</v>
      </c>
      <c r="L16" s="71">
        <f t="shared" ref="L16:N16" si="6">K16+792</f>
        <v>5544</v>
      </c>
      <c r="M16" s="71">
        <f t="shared" si="6"/>
        <v>6336</v>
      </c>
      <c r="N16" s="71">
        <f t="shared" si="6"/>
        <v>7128</v>
      </c>
      <c r="O16" s="63"/>
      <c r="P16" s="63"/>
      <c r="Q16" s="70">
        <f>N16+792</f>
        <v>7920</v>
      </c>
      <c r="R16" s="71">
        <f>Q16+792</f>
        <v>8712</v>
      </c>
      <c r="S16" s="71">
        <f t="shared" ref="S16:U16" si="7">R16+792</f>
        <v>9504</v>
      </c>
      <c r="T16" s="71">
        <f t="shared" si="7"/>
        <v>10296</v>
      </c>
      <c r="U16" s="71">
        <f t="shared" si="7"/>
        <v>11088</v>
      </c>
      <c r="V16" s="63"/>
      <c r="W16" s="63"/>
      <c r="X16" s="70">
        <f>U16+792</f>
        <v>11880</v>
      </c>
      <c r="Y16" s="71">
        <f>X16+792</f>
        <v>12672</v>
      </c>
      <c r="Z16" s="71">
        <f t="shared" ref="Z16:AB16" si="8">Y16+792</f>
        <v>13464</v>
      </c>
      <c r="AA16" s="71">
        <f t="shared" si="8"/>
        <v>14256</v>
      </c>
      <c r="AB16" s="71">
        <f t="shared" si="8"/>
        <v>15048</v>
      </c>
      <c r="AC16" s="63"/>
      <c r="AD16" s="63"/>
      <c r="AE16" s="83">
        <f>AB16+792</f>
        <v>15840</v>
      </c>
      <c r="AF16" s="32"/>
    </row>
    <row r="17" spans="1:32" x14ac:dyDescent="0.25">
      <c r="A17" s="19" t="s">
        <v>2</v>
      </c>
      <c r="B17" s="15"/>
      <c r="C17" s="53"/>
      <c r="D17" s="4">
        <f>D15/D16</f>
        <v>0</v>
      </c>
      <c r="E17" s="4">
        <f t="shared" ref="E17:AE17" si="9">E15/E16</f>
        <v>0.18181818181818182</v>
      </c>
      <c r="F17" s="4">
        <f t="shared" si="9"/>
        <v>0.6342592592592593</v>
      </c>
      <c r="G17" s="4">
        <f t="shared" si="9"/>
        <v>0.78851010101010099</v>
      </c>
      <c r="H17" s="15"/>
      <c r="I17" s="15"/>
      <c r="J17" s="4">
        <f t="shared" si="9"/>
        <v>0.7151515151515152</v>
      </c>
      <c r="K17" s="4">
        <f t="shared" si="9"/>
        <v>0.7087542087542088</v>
      </c>
      <c r="L17" s="4">
        <f t="shared" si="9"/>
        <v>0.72150072150072153</v>
      </c>
      <c r="M17" s="4">
        <f t="shared" si="9"/>
        <v>0.86726641414141414</v>
      </c>
      <c r="N17" s="4">
        <f t="shared" si="9"/>
        <v>0.80246913580246915</v>
      </c>
      <c r="O17" s="15"/>
      <c r="P17" s="15"/>
      <c r="Q17" s="4">
        <f t="shared" si="9"/>
        <v>0.79040404040404044</v>
      </c>
      <c r="R17" s="4">
        <f t="shared" si="9"/>
        <v>0.72750229568411384</v>
      </c>
      <c r="S17" s="4">
        <f t="shared" si="9"/>
        <v>0.66687710437710435</v>
      </c>
      <c r="T17" s="4">
        <f t="shared" si="9"/>
        <v>0.61557886557886554</v>
      </c>
      <c r="U17" s="4">
        <f t="shared" si="9"/>
        <v>0.57160894660894657</v>
      </c>
      <c r="V17" s="15"/>
      <c r="W17" s="15"/>
      <c r="X17" s="4">
        <f t="shared" si="9"/>
        <v>0.65723905723905729</v>
      </c>
      <c r="Y17" s="4">
        <f t="shared" si="9"/>
        <v>0.75134154040404044</v>
      </c>
      <c r="Z17" s="4">
        <f t="shared" si="9"/>
        <v>0.79797979797979801</v>
      </c>
      <c r="AA17" s="4">
        <f t="shared" si="9"/>
        <v>0.94760101010101006</v>
      </c>
      <c r="AB17" s="4">
        <f t="shared" si="9"/>
        <v>0.94650451887293996</v>
      </c>
      <c r="AC17" s="15"/>
      <c r="AD17" s="15"/>
      <c r="AE17" s="4">
        <f t="shared" si="9"/>
        <v>1.0625631313131314</v>
      </c>
      <c r="AF17" s="32"/>
    </row>
    <row r="18" spans="1:32" ht="15.75" thickBot="1" x14ac:dyDescent="0.3">
      <c r="A18" s="20"/>
      <c r="B18" s="16"/>
      <c r="C18" s="54"/>
      <c r="D18" s="7"/>
      <c r="E18" s="26"/>
      <c r="F18" s="26"/>
      <c r="G18" s="7"/>
      <c r="H18" s="16"/>
      <c r="I18" s="16"/>
      <c r="J18" s="72"/>
      <c r="K18" s="73"/>
      <c r="L18" s="7"/>
      <c r="M18" s="7"/>
      <c r="N18" s="7"/>
      <c r="O18" s="16"/>
      <c r="P18" s="16"/>
      <c r="Q18" s="72"/>
      <c r="R18" s="73"/>
      <c r="S18" s="7"/>
      <c r="T18" s="7"/>
      <c r="U18" s="7"/>
      <c r="V18" s="16"/>
      <c r="W18" s="16"/>
      <c r="X18" s="72"/>
      <c r="Y18" s="73"/>
      <c r="Z18" s="7"/>
      <c r="AA18" s="82"/>
      <c r="AB18" s="82"/>
      <c r="AC18" s="16"/>
      <c r="AD18" s="16"/>
      <c r="AE18" s="72"/>
      <c r="AF18" s="32"/>
    </row>
    <row r="19" spans="1:32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</row>
    <row r="20" spans="1:32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</row>
    <row r="21" spans="1:32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32"/>
    </row>
    <row r="22" spans="1:32" x14ac:dyDescent="0.25">
      <c r="A22" s="19" t="s">
        <v>8</v>
      </c>
      <c r="B22" s="60"/>
      <c r="C22" s="59"/>
      <c r="D22" s="56">
        <v>1801</v>
      </c>
      <c r="E22" s="56">
        <v>2775</v>
      </c>
      <c r="F22" s="56">
        <v>4287</v>
      </c>
      <c r="G22" s="56">
        <v>10121</v>
      </c>
      <c r="H22" s="60"/>
      <c r="I22" s="60"/>
      <c r="J22" s="68">
        <v>12860</v>
      </c>
      <c r="K22" s="69">
        <v>14955</v>
      </c>
      <c r="L22" s="56">
        <v>17577</v>
      </c>
      <c r="M22" s="56">
        <v>21260</v>
      </c>
      <c r="N22" s="56">
        <v>24642</v>
      </c>
      <c r="O22" s="60"/>
      <c r="P22" s="60"/>
      <c r="Q22" s="68">
        <v>25617</v>
      </c>
      <c r="R22" s="69">
        <v>27530</v>
      </c>
      <c r="S22" s="56">
        <v>31125</v>
      </c>
      <c r="T22" s="56">
        <v>32861</v>
      </c>
      <c r="U22" s="56">
        <v>34910</v>
      </c>
      <c r="V22" s="60"/>
      <c r="W22" s="60"/>
      <c r="X22" s="68">
        <v>36085</v>
      </c>
      <c r="Y22" s="69">
        <v>37493</v>
      </c>
      <c r="Z22" s="56">
        <v>41220</v>
      </c>
      <c r="AA22" s="80">
        <v>43659</v>
      </c>
      <c r="AB22" s="80">
        <v>49343</v>
      </c>
      <c r="AC22" s="60"/>
      <c r="AD22" s="60"/>
      <c r="AE22" s="68">
        <v>52844</v>
      </c>
      <c r="AF22" s="32"/>
    </row>
    <row r="23" spans="1:32" x14ac:dyDescent="0.25">
      <c r="A23" s="19" t="s">
        <v>1</v>
      </c>
      <c r="B23" s="63"/>
      <c r="C23" s="62"/>
      <c r="D23" s="52">
        <v>2877</v>
      </c>
      <c r="E23" s="52">
        <f>D23+2877</f>
        <v>5754</v>
      </c>
      <c r="F23" s="52">
        <f t="shared" ref="F23:G23" si="10">E23+2877</f>
        <v>8631</v>
      </c>
      <c r="G23" s="52">
        <f t="shared" si="10"/>
        <v>11508</v>
      </c>
      <c r="H23" s="63"/>
      <c r="I23" s="63"/>
      <c r="J23" s="70">
        <f>G23+2877</f>
        <v>14385</v>
      </c>
      <c r="K23" s="71">
        <f>J23+2877</f>
        <v>17262</v>
      </c>
      <c r="L23" s="71">
        <f t="shared" ref="L23:N23" si="11">K23+2877</f>
        <v>20139</v>
      </c>
      <c r="M23" s="71">
        <f t="shared" si="11"/>
        <v>23016</v>
      </c>
      <c r="N23" s="71">
        <f t="shared" si="11"/>
        <v>25893</v>
      </c>
      <c r="O23" s="63"/>
      <c r="P23" s="63"/>
      <c r="Q23" s="70">
        <f>N23+2877</f>
        <v>28770</v>
      </c>
      <c r="R23" s="71">
        <f>Q23+2877</f>
        <v>31647</v>
      </c>
      <c r="S23" s="71">
        <f t="shared" ref="S23:U23" si="12">R23+2877</f>
        <v>34524</v>
      </c>
      <c r="T23" s="71">
        <f t="shared" si="12"/>
        <v>37401</v>
      </c>
      <c r="U23" s="71">
        <f t="shared" si="12"/>
        <v>40278</v>
      </c>
      <c r="V23" s="63"/>
      <c r="W23" s="63"/>
      <c r="X23" s="70">
        <f>U23+2877</f>
        <v>43155</v>
      </c>
      <c r="Y23" s="71">
        <f>X23+2877</f>
        <v>46032</v>
      </c>
      <c r="Z23" s="71">
        <f t="shared" ref="Z23:AB23" si="13">Y23+2877</f>
        <v>48909</v>
      </c>
      <c r="AA23" s="71">
        <f t="shared" si="13"/>
        <v>51786</v>
      </c>
      <c r="AB23" s="71">
        <f t="shared" si="13"/>
        <v>54663</v>
      </c>
      <c r="AC23" s="63"/>
      <c r="AD23" s="63"/>
      <c r="AE23" s="83">
        <f>AB23+2877</f>
        <v>57540</v>
      </c>
      <c r="AF23" s="32"/>
    </row>
    <row r="24" spans="1:32" x14ac:dyDescent="0.25">
      <c r="A24" s="19" t="s">
        <v>2</v>
      </c>
      <c r="B24" s="15"/>
      <c r="C24" s="53"/>
      <c r="D24" s="4">
        <f>D22/D23</f>
        <v>0.62599930483142163</v>
      </c>
      <c r="E24" s="4">
        <f t="shared" ref="E24:AE24" si="14">E22/E23</f>
        <v>0.48227320125130346</v>
      </c>
      <c r="F24" s="4">
        <f t="shared" si="14"/>
        <v>0.49669794925269378</v>
      </c>
      <c r="G24" s="4">
        <f t="shared" si="14"/>
        <v>0.87947514772332291</v>
      </c>
      <c r="H24" s="15"/>
      <c r="I24" s="15"/>
      <c r="J24" s="4">
        <f t="shared" si="14"/>
        <v>0.89398679179701079</v>
      </c>
      <c r="K24" s="4">
        <f t="shared" si="14"/>
        <v>0.86635384080639555</v>
      </c>
      <c r="L24" s="4">
        <f t="shared" si="14"/>
        <v>0.87278415015641297</v>
      </c>
      <c r="M24" s="4">
        <f t="shared" si="14"/>
        <v>0.92370524852276681</v>
      </c>
      <c r="N24" s="4">
        <f t="shared" si="14"/>
        <v>0.95168578380257207</v>
      </c>
      <c r="O24" s="15"/>
      <c r="P24" s="15"/>
      <c r="Q24" s="4">
        <f t="shared" si="14"/>
        <v>0.89040667361835246</v>
      </c>
      <c r="R24" s="4">
        <f t="shared" si="14"/>
        <v>0.86990868012765821</v>
      </c>
      <c r="S24" s="4">
        <f t="shared" si="14"/>
        <v>0.90154675008689611</v>
      </c>
      <c r="T24" s="4">
        <f t="shared" si="14"/>
        <v>0.87861287131360122</v>
      </c>
      <c r="U24" s="4">
        <f t="shared" si="14"/>
        <v>0.8667262525448135</v>
      </c>
      <c r="V24" s="15"/>
      <c r="W24" s="15"/>
      <c r="X24" s="4">
        <f t="shared" si="14"/>
        <v>0.83617193836171944</v>
      </c>
      <c r="Y24" s="4">
        <f t="shared" si="14"/>
        <v>0.81449860966284326</v>
      </c>
      <c r="Z24" s="4">
        <f t="shared" si="14"/>
        <v>0.84278967061277066</v>
      </c>
      <c r="AA24" s="4">
        <f t="shared" si="14"/>
        <v>0.84306569343065696</v>
      </c>
      <c r="AB24" s="4">
        <f t="shared" si="14"/>
        <v>0.902676399026764</v>
      </c>
      <c r="AC24" s="15"/>
      <c r="AD24" s="15"/>
      <c r="AE24" s="4">
        <f t="shared" si="14"/>
        <v>0.91838720889815784</v>
      </c>
      <c r="AF24" s="32"/>
    </row>
    <row r="25" spans="1:32" ht="15.75" thickBot="1" x14ac:dyDescent="0.3">
      <c r="A25" s="20"/>
      <c r="B25" s="16"/>
      <c r="C25" s="54"/>
      <c r="D25" s="7"/>
      <c r="E25" s="26"/>
      <c r="F25" s="26"/>
      <c r="G25" s="7"/>
      <c r="H25" s="16"/>
      <c r="I25" s="16"/>
      <c r="J25" s="72"/>
      <c r="K25" s="73"/>
      <c r="L25" s="7"/>
      <c r="M25" s="7"/>
      <c r="N25" s="7"/>
      <c r="O25" s="16"/>
      <c r="P25" s="16"/>
      <c r="Q25" s="72"/>
      <c r="R25" s="73"/>
      <c r="S25" s="7"/>
      <c r="T25" s="7"/>
      <c r="U25" s="7"/>
      <c r="V25" s="16"/>
      <c r="W25" s="16"/>
      <c r="X25" s="72"/>
      <c r="Y25" s="73"/>
      <c r="Z25" s="7"/>
      <c r="AA25" s="82"/>
      <c r="AB25" s="82"/>
      <c r="AC25" s="16"/>
      <c r="AD25" s="16"/>
      <c r="AE25" s="72"/>
      <c r="AF25" s="32"/>
    </row>
    <row r="26" spans="1:32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</row>
    <row r="27" spans="1:32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</row>
    <row r="28" spans="1:32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32"/>
    </row>
    <row r="29" spans="1:32" x14ac:dyDescent="0.25">
      <c r="A29" s="19" t="s">
        <v>8</v>
      </c>
      <c r="B29" s="60"/>
      <c r="C29" s="59"/>
      <c r="D29" s="56">
        <v>1230</v>
      </c>
      <c r="E29" s="56">
        <v>2109</v>
      </c>
      <c r="F29" s="56">
        <v>2488</v>
      </c>
      <c r="G29" s="56">
        <v>4598</v>
      </c>
      <c r="H29" s="60"/>
      <c r="I29" s="60"/>
      <c r="J29" s="68">
        <v>5167</v>
      </c>
      <c r="K29" s="69">
        <v>5852</v>
      </c>
      <c r="L29" s="56">
        <v>6620</v>
      </c>
      <c r="M29" s="56">
        <v>7266</v>
      </c>
      <c r="N29" s="56">
        <v>9204</v>
      </c>
      <c r="O29" s="60"/>
      <c r="P29" s="60"/>
      <c r="Q29" s="68">
        <v>10972</v>
      </c>
      <c r="R29" s="69">
        <v>13149</v>
      </c>
      <c r="S29" s="56">
        <v>13581</v>
      </c>
      <c r="T29" s="56">
        <v>14240</v>
      </c>
      <c r="U29" s="56">
        <v>16534</v>
      </c>
      <c r="V29" s="60"/>
      <c r="W29" s="60"/>
      <c r="X29" s="68">
        <v>18028</v>
      </c>
      <c r="Y29" s="69">
        <v>20613</v>
      </c>
      <c r="Z29" s="56">
        <v>21633</v>
      </c>
      <c r="AA29" s="80">
        <v>23275</v>
      </c>
      <c r="AB29" s="80">
        <v>26228</v>
      </c>
      <c r="AC29" s="60"/>
      <c r="AD29" s="60"/>
      <c r="AE29" s="68">
        <v>30687</v>
      </c>
      <c r="AF29" s="32"/>
    </row>
    <row r="30" spans="1:32" x14ac:dyDescent="0.25">
      <c r="A30" s="19" t="s">
        <v>1</v>
      </c>
      <c r="B30" s="63"/>
      <c r="C30" s="62"/>
      <c r="D30" s="52">
        <v>1770</v>
      </c>
      <c r="E30" s="52">
        <f>D30+1770</f>
        <v>3540</v>
      </c>
      <c r="F30" s="52">
        <f t="shared" ref="F30:G30" si="15">E30+1770</f>
        <v>5310</v>
      </c>
      <c r="G30" s="52">
        <f t="shared" si="15"/>
        <v>7080</v>
      </c>
      <c r="H30" s="63"/>
      <c r="I30" s="63"/>
      <c r="J30" s="70">
        <f>G30+1770</f>
        <v>8850</v>
      </c>
      <c r="K30" s="71">
        <f>J30+1770</f>
        <v>10620</v>
      </c>
      <c r="L30" s="71">
        <f t="shared" ref="L30:N30" si="16">K30+1770</f>
        <v>12390</v>
      </c>
      <c r="M30" s="71">
        <f t="shared" si="16"/>
        <v>14160</v>
      </c>
      <c r="N30" s="71">
        <f t="shared" si="16"/>
        <v>15930</v>
      </c>
      <c r="O30" s="63"/>
      <c r="P30" s="63"/>
      <c r="Q30" s="70">
        <f>N30+1770</f>
        <v>17700</v>
      </c>
      <c r="R30" s="71">
        <f>Q30+1770</f>
        <v>19470</v>
      </c>
      <c r="S30" s="71">
        <f t="shared" ref="S30:U30" si="17">R30+1770</f>
        <v>21240</v>
      </c>
      <c r="T30" s="71">
        <f t="shared" si="17"/>
        <v>23010</v>
      </c>
      <c r="U30" s="71">
        <f t="shared" si="17"/>
        <v>24780</v>
      </c>
      <c r="V30" s="63"/>
      <c r="W30" s="63"/>
      <c r="X30" s="70">
        <f>U30+1770</f>
        <v>26550</v>
      </c>
      <c r="Y30" s="71">
        <f>X30+1770</f>
        <v>28320</v>
      </c>
      <c r="Z30" s="71">
        <f t="shared" ref="Z30:AB30" si="18">Y30+1770</f>
        <v>30090</v>
      </c>
      <c r="AA30" s="71">
        <f t="shared" si="18"/>
        <v>31860</v>
      </c>
      <c r="AB30" s="71">
        <f t="shared" si="18"/>
        <v>33630</v>
      </c>
      <c r="AC30" s="63"/>
      <c r="AD30" s="63"/>
      <c r="AE30" s="83">
        <f>AB30+1770</f>
        <v>35400</v>
      </c>
      <c r="AF30" s="32"/>
    </row>
    <row r="31" spans="1:32" x14ac:dyDescent="0.25">
      <c r="A31" s="19" t="s">
        <v>2</v>
      </c>
      <c r="B31" s="15"/>
      <c r="C31" s="53"/>
      <c r="D31" s="4">
        <f>D29/D30</f>
        <v>0.69491525423728817</v>
      </c>
      <c r="E31" s="4">
        <f t="shared" ref="E31:AE31" si="19">E29/E30</f>
        <v>0.59576271186440677</v>
      </c>
      <c r="F31" s="4">
        <f t="shared" si="19"/>
        <v>0.46854990583804146</v>
      </c>
      <c r="G31" s="4">
        <f t="shared" si="19"/>
        <v>0.64943502824858756</v>
      </c>
      <c r="H31" s="15"/>
      <c r="I31" s="15"/>
      <c r="J31" s="4">
        <f t="shared" si="19"/>
        <v>0.58384180790960449</v>
      </c>
      <c r="K31" s="4">
        <f t="shared" si="19"/>
        <v>0.55103578154425614</v>
      </c>
      <c r="L31" s="4">
        <f t="shared" si="19"/>
        <v>0.53430185633575467</v>
      </c>
      <c r="M31" s="4">
        <f t="shared" si="19"/>
        <v>0.51313559322033897</v>
      </c>
      <c r="N31" s="4">
        <f t="shared" si="19"/>
        <v>0.57777777777777772</v>
      </c>
      <c r="O31" s="15"/>
      <c r="P31" s="15"/>
      <c r="Q31" s="4">
        <f t="shared" si="19"/>
        <v>0.61988700564971755</v>
      </c>
      <c r="R31" s="4">
        <f t="shared" si="19"/>
        <v>0.67534668721109403</v>
      </c>
      <c r="S31" s="4">
        <f t="shared" si="19"/>
        <v>0.639406779661017</v>
      </c>
      <c r="T31" s="4">
        <f t="shared" si="19"/>
        <v>0.61886136462407648</v>
      </c>
      <c r="U31" s="4">
        <f t="shared" si="19"/>
        <v>0.66723163841807909</v>
      </c>
      <c r="V31" s="15"/>
      <c r="W31" s="15"/>
      <c r="X31" s="4">
        <f t="shared" si="19"/>
        <v>0.67902071563088517</v>
      </c>
      <c r="Y31" s="4">
        <f t="shared" si="19"/>
        <v>0.72786016949152543</v>
      </c>
      <c r="Z31" s="4">
        <f t="shared" si="19"/>
        <v>0.7189431704885344</v>
      </c>
      <c r="AA31" s="4">
        <f t="shared" si="19"/>
        <v>0.73053986189579412</v>
      </c>
      <c r="AB31" s="4">
        <f t="shared" si="19"/>
        <v>0.77989889979185256</v>
      </c>
      <c r="AC31" s="15"/>
      <c r="AD31" s="15"/>
      <c r="AE31" s="4">
        <f t="shared" si="19"/>
        <v>0.86686440677966103</v>
      </c>
      <c r="AF31" s="32"/>
    </row>
    <row r="32" spans="1:32" ht="15.75" thickBot="1" x14ac:dyDescent="0.3">
      <c r="A32" s="20"/>
      <c r="B32" s="16"/>
      <c r="C32" s="54"/>
      <c r="D32" s="7"/>
      <c r="E32" s="26"/>
      <c r="F32" s="26"/>
      <c r="G32" s="7"/>
      <c r="H32" s="16"/>
      <c r="I32" s="16"/>
      <c r="J32" s="72"/>
      <c r="K32" s="73"/>
      <c r="L32" s="7"/>
      <c r="M32" s="7"/>
      <c r="N32" s="7"/>
      <c r="O32" s="16"/>
      <c r="P32" s="16"/>
      <c r="Q32" s="72"/>
      <c r="R32" s="73"/>
      <c r="S32" s="7"/>
      <c r="T32" s="7"/>
      <c r="U32" s="7"/>
      <c r="V32" s="16"/>
      <c r="W32" s="16"/>
      <c r="X32" s="72"/>
      <c r="Y32" s="73"/>
      <c r="Z32" s="7"/>
      <c r="AA32" s="82"/>
      <c r="AB32" s="82"/>
      <c r="AC32" s="16"/>
      <c r="AD32" s="16"/>
      <c r="AE32" s="72"/>
      <c r="AF32" s="32"/>
    </row>
    <row r="33" spans="1:32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</row>
    <row r="34" spans="1:32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</row>
    <row r="35" spans="1:32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32"/>
    </row>
    <row r="36" spans="1:32" x14ac:dyDescent="0.25">
      <c r="A36" s="19" t="s">
        <v>8</v>
      </c>
      <c r="B36" s="60"/>
      <c r="C36" s="59"/>
      <c r="D36" s="56">
        <v>1323</v>
      </c>
      <c r="E36" s="56">
        <v>3318</v>
      </c>
      <c r="F36" s="56">
        <v>8225</v>
      </c>
      <c r="G36" s="56">
        <v>10878</v>
      </c>
      <c r="H36" s="60"/>
      <c r="I36" s="60"/>
      <c r="J36" s="68">
        <v>12917</v>
      </c>
      <c r="K36" s="69">
        <v>15118</v>
      </c>
      <c r="L36" s="56">
        <v>16572</v>
      </c>
      <c r="M36" s="56">
        <v>18443</v>
      </c>
      <c r="N36" s="56">
        <v>20432</v>
      </c>
      <c r="O36" s="60"/>
      <c r="P36" s="60"/>
      <c r="Q36" s="68">
        <v>21444</v>
      </c>
      <c r="R36" s="69">
        <v>24162</v>
      </c>
      <c r="S36" s="56">
        <v>27591</v>
      </c>
      <c r="T36" s="56">
        <v>30996</v>
      </c>
      <c r="U36" s="56">
        <v>33944</v>
      </c>
      <c r="V36" s="60"/>
      <c r="W36" s="60"/>
      <c r="X36" s="68">
        <v>34912</v>
      </c>
      <c r="Y36" s="69">
        <v>37568</v>
      </c>
      <c r="Z36" s="56">
        <v>39432</v>
      </c>
      <c r="AA36" s="80">
        <v>44970</v>
      </c>
      <c r="AB36" s="80">
        <v>49518</v>
      </c>
      <c r="AC36" s="60"/>
      <c r="AD36" s="60"/>
      <c r="AE36" s="68">
        <v>55274</v>
      </c>
      <c r="AF36" s="32"/>
    </row>
    <row r="37" spans="1:32" x14ac:dyDescent="0.25">
      <c r="A37" s="19" t="s">
        <v>1</v>
      </c>
      <c r="B37" s="63"/>
      <c r="C37" s="62"/>
      <c r="D37" s="52">
        <v>3262</v>
      </c>
      <c r="E37" s="52">
        <f>D37+3262</f>
        <v>6524</v>
      </c>
      <c r="F37" s="52">
        <f>E37+3262</f>
        <v>9786</v>
      </c>
      <c r="G37" s="52">
        <f>F37+3262</f>
        <v>13048</v>
      </c>
      <c r="H37" s="63"/>
      <c r="I37" s="63"/>
      <c r="J37" s="70">
        <f>G37+3262</f>
        <v>16310</v>
      </c>
      <c r="K37" s="71">
        <f>J37+3262</f>
        <v>19572</v>
      </c>
      <c r="L37" s="71">
        <f t="shared" ref="L37:N37" si="20">K37+3262</f>
        <v>22834</v>
      </c>
      <c r="M37" s="71">
        <f t="shared" si="20"/>
        <v>26096</v>
      </c>
      <c r="N37" s="71">
        <f t="shared" si="20"/>
        <v>29358</v>
      </c>
      <c r="O37" s="63"/>
      <c r="P37" s="63"/>
      <c r="Q37" s="70">
        <f>N37+3262</f>
        <v>32620</v>
      </c>
      <c r="R37" s="71">
        <f>Q37+3262</f>
        <v>35882</v>
      </c>
      <c r="S37" s="71">
        <f t="shared" ref="S37:U37" si="21">R37+3262</f>
        <v>39144</v>
      </c>
      <c r="T37" s="71">
        <f t="shared" si="21"/>
        <v>42406</v>
      </c>
      <c r="U37" s="71">
        <f t="shared" si="21"/>
        <v>45668</v>
      </c>
      <c r="V37" s="63"/>
      <c r="W37" s="63"/>
      <c r="X37" s="70">
        <f>U37+3262</f>
        <v>48930</v>
      </c>
      <c r="Y37" s="71">
        <f>X37+3262</f>
        <v>52192</v>
      </c>
      <c r="Z37" s="71">
        <f t="shared" ref="Z37:AB37" si="22">Y37+3262</f>
        <v>55454</v>
      </c>
      <c r="AA37" s="71">
        <f t="shared" si="22"/>
        <v>58716</v>
      </c>
      <c r="AB37" s="71">
        <f t="shared" si="22"/>
        <v>61978</v>
      </c>
      <c r="AC37" s="63"/>
      <c r="AD37" s="63"/>
      <c r="AE37" s="83">
        <f>AB37+3262</f>
        <v>65240</v>
      </c>
      <c r="AF37" s="32"/>
    </row>
    <row r="38" spans="1:32" x14ac:dyDescent="0.25">
      <c r="A38" s="19" t="s">
        <v>2</v>
      </c>
      <c r="B38" s="15"/>
      <c r="C38" s="53"/>
      <c r="D38" s="4">
        <f>D36/D37</f>
        <v>0.40557939914163088</v>
      </c>
      <c r="E38" s="4">
        <f t="shared" ref="E38:AE38" si="23">E36/E37</f>
        <v>0.50858369098712441</v>
      </c>
      <c r="F38" s="4">
        <f t="shared" si="23"/>
        <v>0.84048640915593709</v>
      </c>
      <c r="G38" s="4">
        <f t="shared" si="23"/>
        <v>0.83369098712446355</v>
      </c>
      <c r="H38" s="15"/>
      <c r="I38" s="15"/>
      <c r="J38" s="4">
        <f t="shared" si="23"/>
        <v>0.79196811771919073</v>
      </c>
      <c r="K38" s="4">
        <f t="shared" si="23"/>
        <v>0.77243000204373591</v>
      </c>
      <c r="L38" s="4">
        <f t="shared" si="23"/>
        <v>0.72575983182972759</v>
      </c>
      <c r="M38" s="4">
        <f t="shared" si="23"/>
        <v>0.70673666462293072</v>
      </c>
      <c r="N38" s="4">
        <f t="shared" si="23"/>
        <v>0.69596021527352003</v>
      </c>
      <c r="O38" s="15"/>
      <c r="P38" s="15"/>
      <c r="Q38" s="4">
        <f t="shared" si="23"/>
        <v>0.65738810545677495</v>
      </c>
      <c r="R38" s="4">
        <f t="shared" si="23"/>
        <v>0.6733738364639652</v>
      </c>
      <c r="S38" s="4">
        <f t="shared" si="23"/>
        <v>0.70485898221949728</v>
      </c>
      <c r="T38" s="4">
        <f t="shared" si="23"/>
        <v>0.73093430174975238</v>
      </c>
      <c r="U38" s="4">
        <f t="shared" si="23"/>
        <v>0.74327756853814486</v>
      </c>
      <c r="V38" s="15"/>
      <c r="W38" s="15"/>
      <c r="X38" s="4">
        <f t="shared" si="23"/>
        <v>0.71350909462497447</v>
      </c>
      <c r="Y38" s="4">
        <f t="shared" si="23"/>
        <v>0.71980380134886568</v>
      </c>
      <c r="Z38" s="4">
        <f t="shared" si="23"/>
        <v>0.71107584664767198</v>
      </c>
      <c r="AA38" s="4">
        <f t="shared" si="23"/>
        <v>0.76589004700592689</v>
      </c>
      <c r="AB38" s="4">
        <f t="shared" si="23"/>
        <v>0.79896092161734811</v>
      </c>
      <c r="AC38" s="15"/>
      <c r="AD38" s="15"/>
      <c r="AE38" s="4">
        <f t="shared" si="23"/>
        <v>0.84724095646842423</v>
      </c>
      <c r="AF38" s="32"/>
    </row>
    <row r="39" spans="1:32" ht="15.75" thickBot="1" x14ac:dyDescent="0.3">
      <c r="A39" s="20"/>
      <c r="B39" s="16"/>
      <c r="C39" s="54"/>
      <c r="D39" s="7"/>
      <c r="E39" s="26"/>
      <c r="F39" s="26"/>
      <c r="G39" s="7"/>
      <c r="H39" s="16"/>
      <c r="I39" s="16"/>
      <c r="J39" s="72"/>
      <c r="K39" s="73"/>
      <c r="L39" s="7"/>
      <c r="M39" s="7"/>
      <c r="N39" s="7"/>
      <c r="O39" s="16"/>
      <c r="P39" s="16"/>
      <c r="Q39" s="72"/>
      <c r="R39" s="73"/>
      <c r="S39" s="7"/>
      <c r="T39" s="7"/>
      <c r="U39" s="7"/>
      <c r="V39" s="16"/>
      <c r="W39" s="16"/>
      <c r="X39" s="72"/>
      <c r="Y39" s="73"/>
      <c r="Z39" s="7"/>
      <c r="AA39" s="82"/>
      <c r="AB39" s="82"/>
      <c r="AC39" s="16"/>
      <c r="AD39" s="16"/>
      <c r="AE39" s="72"/>
      <c r="AF39" s="32"/>
    </row>
    <row r="40" spans="1:32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</row>
    <row r="41" spans="1:32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</row>
    <row r="42" spans="1:32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32"/>
    </row>
    <row r="43" spans="1:32" x14ac:dyDescent="0.25">
      <c r="A43" s="19" t="s">
        <v>8</v>
      </c>
      <c r="B43" s="60"/>
      <c r="C43" s="59"/>
      <c r="D43" s="56">
        <v>0</v>
      </c>
      <c r="E43" s="56">
        <v>365</v>
      </c>
      <c r="F43" s="56">
        <v>1277</v>
      </c>
      <c r="G43" s="56">
        <v>1643</v>
      </c>
      <c r="H43" s="60"/>
      <c r="I43" s="60"/>
      <c r="J43" s="68">
        <v>1853</v>
      </c>
      <c r="K43" s="69">
        <v>1853</v>
      </c>
      <c r="L43" s="56">
        <v>1853</v>
      </c>
      <c r="M43" s="56">
        <v>1853</v>
      </c>
      <c r="N43" s="56">
        <v>1853</v>
      </c>
      <c r="O43" s="60"/>
      <c r="P43" s="60"/>
      <c r="Q43" s="68">
        <v>3490</v>
      </c>
      <c r="R43" s="69">
        <v>4488</v>
      </c>
      <c r="S43" s="56">
        <v>5599</v>
      </c>
      <c r="T43" s="56">
        <v>6742</v>
      </c>
      <c r="U43" s="56">
        <v>7030</v>
      </c>
      <c r="V43" s="60"/>
      <c r="W43" s="60"/>
      <c r="X43" s="68">
        <v>7810</v>
      </c>
      <c r="Y43" s="69">
        <v>8093</v>
      </c>
      <c r="Z43" s="56">
        <v>8597</v>
      </c>
      <c r="AA43" s="80">
        <v>9370</v>
      </c>
      <c r="AB43" s="80">
        <v>10322</v>
      </c>
      <c r="AC43" s="60"/>
      <c r="AD43" s="60"/>
      <c r="AE43" s="68">
        <v>10865</v>
      </c>
      <c r="AF43" s="32"/>
    </row>
    <row r="44" spans="1:32" x14ac:dyDescent="0.25">
      <c r="A44" s="19" t="s">
        <v>1</v>
      </c>
      <c r="B44" s="63"/>
      <c r="C44" s="62"/>
      <c r="D44" s="52">
        <v>731</v>
      </c>
      <c r="E44" s="52">
        <f>D44+731</f>
        <v>1462</v>
      </c>
      <c r="F44" s="52">
        <f t="shared" ref="F44:G44" si="24">E44+731</f>
        <v>2193</v>
      </c>
      <c r="G44" s="52">
        <f t="shared" si="24"/>
        <v>2924</v>
      </c>
      <c r="H44" s="63"/>
      <c r="I44" s="63"/>
      <c r="J44" s="70">
        <f>G44+731</f>
        <v>3655</v>
      </c>
      <c r="K44" s="71">
        <f>J44+731</f>
        <v>4386</v>
      </c>
      <c r="L44" s="71">
        <f t="shared" ref="L44:N44" si="25">K44+731</f>
        <v>5117</v>
      </c>
      <c r="M44" s="71">
        <f t="shared" si="25"/>
        <v>5848</v>
      </c>
      <c r="N44" s="71">
        <f t="shared" si="25"/>
        <v>6579</v>
      </c>
      <c r="O44" s="63"/>
      <c r="P44" s="63"/>
      <c r="Q44" s="70">
        <f>N44+731</f>
        <v>7310</v>
      </c>
      <c r="R44" s="71">
        <f>Q44+731</f>
        <v>8041</v>
      </c>
      <c r="S44" s="71">
        <f t="shared" ref="S44:U44" si="26">R44+731</f>
        <v>8772</v>
      </c>
      <c r="T44" s="71">
        <f t="shared" si="26"/>
        <v>9503</v>
      </c>
      <c r="U44" s="71">
        <f t="shared" si="26"/>
        <v>10234</v>
      </c>
      <c r="V44" s="63"/>
      <c r="W44" s="63"/>
      <c r="X44" s="70">
        <f>U44+731</f>
        <v>10965</v>
      </c>
      <c r="Y44" s="71">
        <f>X44+731</f>
        <v>11696</v>
      </c>
      <c r="Z44" s="71">
        <f t="shared" ref="Z44:AB44" si="27">Y44+731</f>
        <v>12427</v>
      </c>
      <c r="AA44" s="71">
        <f t="shared" si="27"/>
        <v>13158</v>
      </c>
      <c r="AB44" s="71">
        <f t="shared" si="27"/>
        <v>13889</v>
      </c>
      <c r="AC44" s="63"/>
      <c r="AD44" s="63"/>
      <c r="AE44" s="83">
        <f>AB44+731</f>
        <v>14620</v>
      </c>
      <c r="AF44" s="32"/>
    </row>
    <row r="45" spans="1:32" x14ac:dyDescent="0.25">
      <c r="A45" s="19" t="s">
        <v>2</v>
      </c>
      <c r="B45" s="15"/>
      <c r="C45" s="53"/>
      <c r="D45" s="4">
        <f>D43/D44</f>
        <v>0</v>
      </c>
      <c r="E45" s="4">
        <f t="shared" ref="E45:AE45" si="28">E43/E44</f>
        <v>0.2496580027359781</v>
      </c>
      <c r="F45" s="4">
        <f t="shared" si="28"/>
        <v>0.58230734154126762</v>
      </c>
      <c r="G45" s="4">
        <f t="shared" si="28"/>
        <v>0.56190150478796175</v>
      </c>
      <c r="H45" s="15"/>
      <c r="I45" s="15"/>
      <c r="J45" s="4">
        <f t="shared" si="28"/>
        <v>0.50697674418604655</v>
      </c>
      <c r="K45" s="4">
        <f t="shared" si="28"/>
        <v>0.42248062015503873</v>
      </c>
      <c r="L45" s="4">
        <f t="shared" si="28"/>
        <v>0.36212624584717606</v>
      </c>
      <c r="M45" s="4">
        <f t="shared" si="28"/>
        <v>0.31686046511627908</v>
      </c>
      <c r="N45" s="4">
        <f t="shared" si="28"/>
        <v>0.28165374677002586</v>
      </c>
      <c r="O45" s="15"/>
      <c r="P45" s="15"/>
      <c r="Q45" s="4">
        <f t="shared" si="28"/>
        <v>0.47742818057455538</v>
      </c>
      <c r="R45" s="4">
        <f t="shared" si="28"/>
        <v>0.55813953488372092</v>
      </c>
      <c r="S45" s="4">
        <f t="shared" si="28"/>
        <v>0.63828089375285002</v>
      </c>
      <c r="T45" s="4">
        <f t="shared" si="28"/>
        <v>0.70946017047248233</v>
      </c>
      <c r="U45" s="4">
        <f t="shared" si="28"/>
        <v>0.68692593316396322</v>
      </c>
      <c r="V45" s="15"/>
      <c r="W45" s="15"/>
      <c r="X45" s="4">
        <f t="shared" si="28"/>
        <v>0.71226630186958506</v>
      </c>
      <c r="Y45" s="4">
        <f t="shared" si="28"/>
        <v>0.69194596443228451</v>
      </c>
      <c r="Z45" s="4">
        <f t="shared" si="28"/>
        <v>0.69180011265792229</v>
      </c>
      <c r="AA45" s="4">
        <f t="shared" si="28"/>
        <v>0.71211430308557533</v>
      </c>
      <c r="AB45" s="4">
        <f t="shared" si="28"/>
        <v>0.74317805457556341</v>
      </c>
      <c r="AC45" s="15"/>
      <c r="AD45" s="15"/>
      <c r="AE45" s="4">
        <f t="shared" si="28"/>
        <v>0.74316005471956226</v>
      </c>
      <c r="AF45" s="32"/>
    </row>
    <row r="46" spans="1:32" ht="15.75" thickBot="1" x14ac:dyDescent="0.3">
      <c r="A46" s="20"/>
      <c r="B46" s="16"/>
      <c r="C46" s="54"/>
      <c r="D46" s="7"/>
      <c r="E46" s="26"/>
      <c r="F46" s="26"/>
      <c r="G46" s="7"/>
      <c r="H46" s="16"/>
      <c r="I46" s="16"/>
      <c r="J46" s="72"/>
      <c r="K46" s="73"/>
      <c r="L46" s="7"/>
      <c r="M46" s="7"/>
      <c r="N46" s="7"/>
      <c r="O46" s="16"/>
      <c r="P46" s="16"/>
      <c r="Q46" s="72"/>
      <c r="R46" s="73"/>
      <c r="S46" s="7"/>
      <c r="T46" s="7"/>
      <c r="U46" s="7"/>
      <c r="V46" s="16"/>
      <c r="W46" s="16"/>
      <c r="X46" s="72"/>
      <c r="Y46" s="73"/>
      <c r="Z46" s="7"/>
      <c r="AA46" s="82"/>
      <c r="AB46" s="82"/>
      <c r="AC46" s="16"/>
      <c r="AD46" s="16"/>
      <c r="AE46" s="72"/>
      <c r="AF46" s="32"/>
    </row>
    <row r="47" spans="1:32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</row>
    <row r="48" spans="1:32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32"/>
    </row>
    <row r="49" spans="1:32" x14ac:dyDescent="0.25">
      <c r="A49" s="19" t="s">
        <v>8</v>
      </c>
      <c r="B49" s="60"/>
      <c r="C49" s="59"/>
      <c r="D49" s="56">
        <v>169</v>
      </c>
      <c r="E49" s="56">
        <v>495</v>
      </c>
      <c r="F49" s="56">
        <v>1125</v>
      </c>
      <c r="G49" s="56">
        <v>1678</v>
      </c>
      <c r="H49" s="60"/>
      <c r="I49" s="60"/>
      <c r="J49" s="68">
        <v>2949</v>
      </c>
      <c r="K49" s="69">
        <v>3294</v>
      </c>
      <c r="L49" s="56">
        <v>3886</v>
      </c>
      <c r="M49" s="56">
        <v>4185</v>
      </c>
      <c r="N49" s="56">
        <v>4836</v>
      </c>
      <c r="O49" s="60"/>
      <c r="P49" s="60"/>
      <c r="Q49" s="68">
        <v>4924</v>
      </c>
      <c r="R49" s="69">
        <v>5120</v>
      </c>
      <c r="S49" s="56">
        <v>5852</v>
      </c>
      <c r="T49" s="56">
        <v>5852</v>
      </c>
      <c r="U49" s="56">
        <v>6443</v>
      </c>
      <c r="V49" s="60"/>
      <c r="W49" s="60"/>
      <c r="X49" s="68">
        <v>7303</v>
      </c>
      <c r="Y49" s="69">
        <v>8064</v>
      </c>
      <c r="Z49" s="56">
        <v>8931</v>
      </c>
      <c r="AA49" s="80">
        <v>9645</v>
      </c>
      <c r="AB49" s="80">
        <v>10168</v>
      </c>
      <c r="AC49" s="60"/>
      <c r="AD49" s="60"/>
      <c r="AE49" s="68">
        <v>11425</v>
      </c>
      <c r="AF49" s="32"/>
    </row>
    <row r="50" spans="1:32" x14ac:dyDescent="0.25">
      <c r="A50" s="19" t="s">
        <v>1</v>
      </c>
      <c r="B50" s="63"/>
      <c r="C50" s="62"/>
      <c r="D50" s="52">
        <v>515</v>
      </c>
      <c r="E50" s="52">
        <f>D50+515</f>
        <v>1030</v>
      </c>
      <c r="F50" s="52">
        <f t="shared" ref="F50:G50" si="29">E50+515</f>
        <v>1545</v>
      </c>
      <c r="G50" s="52">
        <f t="shared" si="29"/>
        <v>2060</v>
      </c>
      <c r="H50" s="63"/>
      <c r="I50" s="63"/>
      <c r="J50" s="70">
        <f>G50+515</f>
        <v>2575</v>
      </c>
      <c r="K50" s="71">
        <f>J50+515</f>
        <v>3090</v>
      </c>
      <c r="L50" s="71">
        <f t="shared" ref="L50:N50" si="30">K50+515</f>
        <v>3605</v>
      </c>
      <c r="M50" s="71">
        <f t="shared" si="30"/>
        <v>4120</v>
      </c>
      <c r="N50" s="71">
        <f t="shared" si="30"/>
        <v>4635</v>
      </c>
      <c r="O50" s="63"/>
      <c r="P50" s="63"/>
      <c r="Q50" s="70">
        <f>N50+515</f>
        <v>5150</v>
      </c>
      <c r="R50" s="71">
        <f>Q50+515</f>
        <v>5665</v>
      </c>
      <c r="S50" s="71">
        <f t="shared" ref="S50:U50" si="31">R50+515</f>
        <v>6180</v>
      </c>
      <c r="T50" s="71">
        <f t="shared" si="31"/>
        <v>6695</v>
      </c>
      <c r="U50" s="71">
        <f t="shared" si="31"/>
        <v>7210</v>
      </c>
      <c r="V50" s="63"/>
      <c r="W50" s="63"/>
      <c r="X50" s="70">
        <f>U50+515</f>
        <v>7725</v>
      </c>
      <c r="Y50" s="71">
        <f>X50+515</f>
        <v>8240</v>
      </c>
      <c r="Z50" s="71">
        <f t="shared" ref="Z50:AB50" si="32">Y50+515</f>
        <v>8755</v>
      </c>
      <c r="AA50" s="71">
        <f t="shared" si="32"/>
        <v>9270</v>
      </c>
      <c r="AB50" s="71">
        <f t="shared" si="32"/>
        <v>9785</v>
      </c>
      <c r="AC50" s="63"/>
      <c r="AD50" s="63"/>
      <c r="AE50" s="83">
        <f>AB50+515</f>
        <v>10300</v>
      </c>
      <c r="AF50" s="32"/>
    </row>
    <row r="51" spans="1:32" x14ac:dyDescent="0.25">
      <c r="A51" s="19" t="s">
        <v>2</v>
      </c>
      <c r="B51" s="15"/>
      <c r="C51" s="53"/>
      <c r="D51" s="4">
        <f>D49/D50</f>
        <v>0.32815533980582523</v>
      </c>
      <c r="E51" s="4">
        <f t="shared" ref="E51:AE51" si="33">E49/E50</f>
        <v>0.48058252427184467</v>
      </c>
      <c r="F51" s="4">
        <f t="shared" si="33"/>
        <v>0.72815533980582525</v>
      </c>
      <c r="G51" s="4">
        <f t="shared" si="33"/>
        <v>0.81456310679611654</v>
      </c>
      <c r="H51" s="15"/>
      <c r="I51" s="15"/>
      <c r="J51" s="4">
        <f t="shared" si="33"/>
        <v>1.1452427184466019</v>
      </c>
      <c r="K51" s="4">
        <f t="shared" si="33"/>
        <v>1.0660194174757283</v>
      </c>
      <c r="L51" s="4">
        <f t="shared" si="33"/>
        <v>1.0779472954230236</v>
      </c>
      <c r="M51" s="4">
        <f t="shared" si="33"/>
        <v>1.0157766990291262</v>
      </c>
      <c r="N51" s="4">
        <f t="shared" si="33"/>
        <v>1.0433656957928803</v>
      </c>
      <c r="O51" s="15"/>
      <c r="P51" s="15"/>
      <c r="Q51" s="4">
        <f t="shared" si="33"/>
        <v>0.95611650485436894</v>
      </c>
      <c r="R51" s="4">
        <f t="shared" si="33"/>
        <v>0.9037952338923213</v>
      </c>
      <c r="S51" s="4">
        <f t="shared" si="33"/>
        <v>0.94692556634304204</v>
      </c>
      <c r="T51" s="4">
        <f t="shared" si="33"/>
        <v>0.87408513816280808</v>
      </c>
      <c r="U51" s="4">
        <f t="shared" si="33"/>
        <v>0.89361997226074896</v>
      </c>
      <c r="V51" s="15"/>
      <c r="W51" s="15"/>
      <c r="X51" s="4">
        <f t="shared" si="33"/>
        <v>0.94537216828478965</v>
      </c>
      <c r="Y51" s="4">
        <f t="shared" si="33"/>
        <v>0.97864077669902916</v>
      </c>
      <c r="Z51" s="4">
        <f t="shared" si="33"/>
        <v>1.0201027984009137</v>
      </c>
      <c r="AA51" s="4">
        <f t="shared" si="33"/>
        <v>1.0404530744336569</v>
      </c>
      <c r="AB51" s="4">
        <f t="shared" si="33"/>
        <v>1.0391415431783342</v>
      </c>
      <c r="AC51" s="15"/>
      <c r="AD51" s="15"/>
      <c r="AE51" s="4">
        <f t="shared" si="33"/>
        <v>1.1092233009708738</v>
      </c>
      <c r="AF51" s="32"/>
    </row>
    <row r="52" spans="1:32" ht="15.75" thickBot="1" x14ac:dyDescent="0.3">
      <c r="A52" s="20"/>
      <c r="B52" s="16"/>
      <c r="C52" s="54"/>
      <c r="D52" s="7"/>
      <c r="E52" s="26"/>
      <c r="F52" s="26"/>
      <c r="G52" s="7"/>
      <c r="H52" s="16"/>
      <c r="I52" s="16"/>
      <c r="J52" s="72"/>
      <c r="K52" s="73"/>
      <c r="L52" s="7"/>
      <c r="M52" s="7"/>
      <c r="N52" s="7"/>
      <c r="O52" s="16"/>
      <c r="P52" s="16"/>
      <c r="Q52" s="72"/>
      <c r="R52" s="73"/>
      <c r="S52" s="7"/>
      <c r="T52" s="7"/>
      <c r="U52" s="7"/>
      <c r="V52" s="16"/>
      <c r="W52" s="16"/>
      <c r="X52" s="72"/>
      <c r="Y52" s="73"/>
      <c r="Z52" s="7"/>
      <c r="AA52" s="82"/>
      <c r="AB52" s="82"/>
      <c r="AC52" s="16"/>
      <c r="AD52" s="16"/>
      <c r="AE52" s="72"/>
      <c r="AF52" s="32"/>
    </row>
    <row r="53" spans="1:3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</row>
    <row r="54" spans="1:32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</row>
    <row r="55" spans="1:32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32"/>
    </row>
    <row r="56" spans="1:32" x14ac:dyDescent="0.25">
      <c r="A56" s="19" t="s">
        <v>8</v>
      </c>
      <c r="B56" s="60"/>
      <c r="C56" s="59"/>
      <c r="D56" s="56">
        <v>1360</v>
      </c>
      <c r="E56" s="56">
        <v>4319</v>
      </c>
      <c r="F56" s="56">
        <v>5059</v>
      </c>
      <c r="G56" s="56">
        <v>6489</v>
      </c>
      <c r="H56" s="60"/>
      <c r="I56" s="60"/>
      <c r="J56" s="68">
        <v>7659</v>
      </c>
      <c r="K56" s="69">
        <v>8228</v>
      </c>
      <c r="L56" s="56">
        <v>14607</v>
      </c>
      <c r="M56" s="56">
        <v>16272</v>
      </c>
      <c r="N56" s="56">
        <v>25160</v>
      </c>
      <c r="O56" s="60"/>
      <c r="P56" s="60"/>
      <c r="Q56" s="68">
        <v>26513</v>
      </c>
      <c r="R56" s="69">
        <v>30301</v>
      </c>
      <c r="S56" s="56">
        <v>32060</v>
      </c>
      <c r="T56" s="56">
        <v>33868</v>
      </c>
      <c r="U56" s="56">
        <v>35927</v>
      </c>
      <c r="V56" s="60"/>
      <c r="W56" s="60"/>
      <c r="X56" s="68">
        <v>39157</v>
      </c>
      <c r="Y56" s="69">
        <v>40160</v>
      </c>
      <c r="Z56" s="56">
        <v>40650</v>
      </c>
      <c r="AA56" s="80">
        <v>45697</v>
      </c>
      <c r="AB56" s="80">
        <v>48544</v>
      </c>
      <c r="AC56" s="60"/>
      <c r="AD56" s="60"/>
      <c r="AE56" s="68">
        <v>49835</v>
      </c>
      <c r="AF56" s="32"/>
    </row>
    <row r="57" spans="1:32" x14ac:dyDescent="0.25">
      <c r="A57" s="19" t="s">
        <v>1</v>
      </c>
      <c r="B57" s="63"/>
      <c r="C57" s="62"/>
      <c r="D57" s="52">
        <v>2004</v>
      </c>
      <c r="E57" s="52">
        <f>D57+2004</f>
        <v>4008</v>
      </c>
      <c r="F57" s="52">
        <f>E57+2004</f>
        <v>6012</v>
      </c>
      <c r="G57" s="52">
        <f>F57+2004</f>
        <v>8016</v>
      </c>
      <c r="H57" s="63"/>
      <c r="I57" s="63"/>
      <c r="J57" s="70">
        <f>G57+2004</f>
        <v>10020</v>
      </c>
      <c r="K57" s="71">
        <f>J57+2004</f>
        <v>12024</v>
      </c>
      <c r="L57" s="71">
        <f t="shared" ref="L57:N57" si="34">K57+2004</f>
        <v>14028</v>
      </c>
      <c r="M57" s="71">
        <f t="shared" si="34"/>
        <v>16032</v>
      </c>
      <c r="N57" s="71">
        <f t="shared" si="34"/>
        <v>18036</v>
      </c>
      <c r="O57" s="63"/>
      <c r="P57" s="63"/>
      <c r="Q57" s="70">
        <f>N57+2004</f>
        <v>20040</v>
      </c>
      <c r="R57" s="71">
        <f>Q57+2004</f>
        <v>22044</v>
      </c>
      <c r="S57" s="71">
        <f t="shared" ref="S57:U57" si="35">R57+2004</f>
        <v>24048</v>
      </c>
      <c r="T57" s="71">
        <f t="shared" si="35"/>
        <v>26052</v>
      </c>
      <c r="U57" s="71">
        <f t="shared" si="35"/>
        <v>28056</v>
      </c>
      <c r="V57" s="63"/>
      <c r="W57" s="63"/>
      <c r="X57" s="70">
        <f>U57+2004</f>
        <v>30060</v>
      </c>
      <c r="Y57" s="71">
        <f>X57+2004</f>
        <v>32064</v>
      </c>
      <c r="Z57" s="71">
        <f t="shared" ref="Z57:AB57" si="36">Y57+2004</f>
        <v>34068</v>
      </c>
      <c r="AA57" s="71">
        <f t="shared" si="36"/>
        <v>36072</v>
      </c>
      <c r="AB57" s="71">
        <f t="shared" si="36"/>
        <v>38076</v>
      </c>
      <c r="AC57" s="63"/>
      <c r="AD57" s="63"/>
      <c r="AE57" s="83">
        <f>AB57+2004</f>
        <v>40080</v>
      </c>
      <c r="AF57" s="32"/>
    </row>
    <row r="58" spans="1:32" x14ac:dyDescent="0.25">
      <c r="A58" s="19" t="s">
        <v>2</v>
      </c>
      <c r="B58" s="15"/>
      <c r="C58" s="53"/>
      <c r="D58" s="4">
        <f>D56/D57</f>
        <v>0.67864271457085823</v>
      </c>
      <c r="E58" s="4">
        <f t="shared" ref="E58:AE58" si="37">E56/E57</f>
        <v>1.0775948103792414</v>
      </c>
      <c r="F58" s="4">
        <f t="shared" si="37"/>
        <v>0.84148369926813038</v>
      </c>
      <c r="G58" s="4">
        <f t="shared" si="37"/>
        <v>0.80950598802395213</v>
      </c>
      <c r="H58" s="15"/>
      <c r="I58" s="15"/>
      <c r="J58" s="4">
        <f t="shared" si="37"/>
        <v>0.76437125748502999</v>
      </c>
      <c r="K58" s="4">
        <f t="shared" si="37"/>
        <v>0.68429807052561542</v>
      </c>
      <c r="L58" s="4">
        <f t="shared" si="37"/>
        <v>1.0412745936698033</v>
      </c>
      <c r="M58" s="4">
        <f t="shared" si="37"/>
        <v>1.0149700598802396</v>
      </c>
      <c r="N58" s="4">
        <f t="shared" si="37"/>
        <v>1.394987802173431</v>
      </c>
      <c r="O58" s="15"/>
      <c r="P58" s="15"/>
      <c r="Q58" s="4">
        <f t="shared" si="37"/>
        <v>1.323003992015968</v>
      </c>
      <c r="R58" s="4">
        <f t="shared" si="37"/>
        <v>1.3745690437307203</v>
      </c>
      <c r="S58" s="4">
        <f t="shared" si="37"/>
        <v>1.333166999334664</v>
      </c>
      <c r="T58" s="4">
        <f t="shared" si="37"/>
        <v>1.3000153539075694</v>
      </c>
      <c r="U58" s="4">
        <f t="shared" si="37"/>
        <v>1.2805460507556317</v>
      </c>
      <c r="V58" s="15"/>
      <c r="W58" s="15"/>
      <c r="X58" s="4">
        <f t="shared" si="37"/>
        <v>1.3026280771789753</v>
      </c>
      <c r="Y58" s="4">
        <f t="shared" si="37"/>
        <v>1.2524950099800398</v>
      </c>
      <c r="Z58" s="4">
        <f t="shared" si="37"/>
        <v>1.1932018316308559</v>
      </c>
      <c r="AA58" s="4">
        <f t="shared" si="37"/>
        <v>1.2668274561987136</v>
      </c>
      <c r="AB58" s="4">
        <f t="shared" si="37"/>
        <v>1.2749238365374513</v>
      </c>
      <c r="AC58" s="15"/>
      <c r="AD58" s="15"/>
      <c r="AE58" s="4">
        <f t="shared" si="37"/>
        <v>1.2433882235528941</v>
      </c>
      <c r="AF58" s="32"/>
    </row>
    <row r="59" spans="1:32" ht="15.75" thickBot="1" x14ac:dyDescent="0.3">
      <c r="A59" s="20"/>
      <c r="B59" s="16"/>
      <c r="C59" s="54"/>
      <c r="D59" s="7"/>
      <c r="E59" s="26"/>
      <c r="F59" s="26"/>
      <c r="G59" s="7"/>
      <c r="H59" s="16"/>
      <c r="I59" s="16"/>
      <c r="J59" s="72"/>
      <c r="K59" s="73"/>
      <c r="L59" s="7"/>
      <c r="M59" s="7"/>
      <c r="N59" s="7"/>
      <c r="O59" s="16"/>
      <c r="P59" s="16"/>
      <c r="Q59" s="72"/>
      <c r="R59" s="73"/>
      <c r="S59" s="7"/>
      <c r="T59" s="7"/>
      <c r="U59" s="7"/>
      <c r="V59" s="16"/>
      <c r="W59" s="16"/>
      <c r="X59" s="72"/>
      <c r="Y59" s="73"/>
      <c r="Z59" s="7"/>
      <c r="AA59" s="82"/>
      <c r="AB59" s="82"/>
      <c r="AC59" s="16"/>
      <c r="AD59" s="16"/>
      <c r="AE59" s="72"/>
      <c r="AF59" s="32"/>
    </row>
    <row r="60" spans="1:32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</row>
    <row r="61" spans="1:32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</row>
    <row r="62" spans="1:32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</row>
    <row r="63" spans="1:32" x14ac:dyDescent="0.25">
      <c r="A63" s="19" t="s">
        <v>8</v>
      </c>
      <c r="B63" s="60"/>
      <c r="C63" s="59"/>
      <c r="D63" s="56">
        <v>408</v>
      </c>
      <c r="E63" s="56">
        <v>1091</v>
      </c>
      <c r="F63" s="56">
        <v>2125</v>
      </c>
      <c r="G63" s="56">
        <v>3281</v>
      </c>
      <c r="H63" s="60"/>
      <c r="I63" s="60"/>
      <c r="J63" s="68">
        <v>4316</v>
      </c>
      <c r="K63" s="69">
        <v>5230</v>
      </c>
      <c r="L63" s="56">
        <v>5361</v>
      </c>
      <c r="M63" s="56">
        <v>6132</v>
      </c>
      <c r="N63" s="56">
        <v>7104</v>
      </c>
      <c r="O63" s="60"/>
      <c r="P63" s="60"/>
      <c r="Q63" s="68">
        <v>7638</v>
      </c>
      <c r="R63" s="69">
        <v>8206</v>
      </c>
      <c r="S63" s="56">
        <v>8402</v>
      </c>
      <c r="T63" s="56">
        <v>9138</v>
      </c>
      <c r="U63" s="56">
        <v>9752</v>
      </c>
      <c r="V63" s="60"/>
      <c r="W63" s="60"/>
      <c r="X63" s="68">
        <v>11277</v>
      </c>
      <c r="Y63" s="69">
        <v>12026</v>
      </c>
      <c r="Z63" s="56">
        <v>13182</v>
      </c>
      <c r="AA63" s="80">
        <v>14722</v>
      </c>
      <c r="AB63" s="80">
        <v>16000</v>
      </c>
      <c r="AC63" s="60"/>
      <c r="AD63" s="60"/>
      <c r="AE63" s="68">
        <v>17076</v>
      </c>
    </row>
    <row r="64" spans="1:32" x14ac:dyDescent="0.25">
      <c r="A64" s="19" t="s">
        <v>1</v>
      </c>
      <c r="B64" s="63"/>
      <c r="C64" s="62"/>
      <c r="D64" s="52">
        <v>913</v>
      </c>
      <c r="E64" s="52">
        <f>D64+913</f>
        <v>1826</v>
      </c>
      <c r="F64" s="52">
        <f t="shared" ref="F64:G64" si="38">E64+913</f>
        <v>2739</v>
      </c>
      <c r="G64" s="52">
        <f t="shared" si="38"/>
        <v>3652</v>
      </c>
      <c r="H64" s="63"/>
      <c r="I64" s="63"/>
      <c r="J64" s="70">
        <f>G64+913</f>
        <v>4565</v>
      </c>
      <c r="K64" s="71">
        <f>J64+913</f>
        <v>5478</v>
      </c>
      <c r="L64" s="71">
        <f t="shared" ref="L64:N64" si="39">K64+913</f>
        <v>6391</v>
      </c>
      <c r="M64" s="71">
        <f t="shared" si="39"/>
        <v>7304</v>
      </c>
      <c r="N64" s="71">
        <f t="shared" si="39"/>
        <v>8217</v>
      </c>
      <c r="O64" s="63"/>
      <c r="P64" s="63"/>
      <c r="Q64" s="70">
        <f>N64+913</f>
        <v>9130</v>
      </c>
      <c r="R64" s="71">
        <f>Q64+913</f>
        <v>10043</v>
      </c>
      <c r="S64" s="71">
        <f t="shared" ref="S64:U64" si="40">R64+913</f>
        <v>10956</v>
      </c>
      <c r="T64" s="71">
        <f t="shared" si="40"/>
        <v>11869</v>
      </c>
      <c r="U64" s="71">
        <f t="shared" si="40"/>
        <v>12782</v>
      </c>
      <c r="V64" s="63"/>
      <c r="W64" s="63"/>
      <c r="X64" s="70">
        <f>U64+913</f>
        <v>13695</v>
      </c>
      <c r="Y64" s="71">
        <f>X64+913</f>
        <v>14608</v>
      </c>
      <c r="Z64" s="71">
        <f t="shared" ref="Z64:AB64" si="41">Y64+913</f>
        <v>15521</v>
      </c>
      <c r="AA64" s="71">
        <f t="shared" si="41"/>
        <v>16434</v>
      </c>
      <c r="AB64" s="71">
        <f t="shared" si="41"/>
        <v>17347</v>
      </c>
      <c r="AC64" s="63"/>
      <c r="AD64" s="63"/>
      <c r="AE64" s="83">
        <f>AB64+913</f>
        <v>18260</v>
      </c>
    </row>
    <row r="65" spans="1:31" x14ac:dyDescent="0.25">
      <c r="A65" s="19" t="s">
        <v>2</v>
      </c>
      <c r="B65" s="15"/>
      <c r="C65" s="53"/>
      <c r="D65" s="4">
        <f>D63/D64</f>
        <v>0.44687842278203727</v>
      </c>
      <c r="E65" s="4">
        <f t="shared" ref="E65:AE65" si="42">E63/E64</f>
        <v>0.59748083242059147</v>
      </c>
      <c r="F65" s="4">
        <f t="shared" si="42"/>
        <v>0.77583059510770358</v>
      </c>
      <c r="G65" s="4">
        <f t="shared" si="42"/>
        <v>0.89841182913472073</v>
      </c>
      <c r="H65" s="15"/>
      <c r="I65" s="15"/>
      <c r="J65" s="4">
        <f t="shared" si="42"/>
        <v>0.94545454545454544</v>
      </c>
      <c r="K65" s="4">
        <f t="shared" si="42"/>
        <v>0.95472800292077398</v>
      </c>
      <c r="L65" s="4">
        <f t="shared" si="42"/>
        <v>0.83883586293224843</v>
      </c>
      <c r="M65" s="4">
        <f t="shared" si="42"/>
        <v>0.83953997809419501</v>
      </c>
      <c r="N65" s="4">
        <f t="shared" si="42"/>
        <v>0.86454910551296094</v>
      </c>
      <c r="O65" s="15"/>
      <c r="P65" s="15"/>
      <c r="Q65" s="4">
        <f t="shared" si="42"/>
        <v>0.83658269441401967</v>
      </c>
      <c r="R65" s="4">
        <f t="shared" si="42"/>
        <v>0.81708652792990144</v>
      </c>
      <c r="S65" s="4">
        <f t="shared" si="42"/>
        <v>0.76688572471704997</v>
      </c>
      <c r="T65" s="4">
        <f t="shared" si="42"/>
        <v>0.7699047940011795</v>
      </c>
      <c r="U65" s="4">
        <f t="shared" si="42"/>
        <v>0.762947895478016</v>
      </c>
      <c r="V65" s="15"/>
      <c r="W65" s="15"/>
      <c r="X65" s="4">
        <f t="shared" si="42"/>
        <v>0.82343921139101861</v>
      </c>
      <c r="Y65" s="4">
        <f t="shared" si="42"/>
        <v>0.8232475355969332</v>
      </c>
      <c r="Z65" s="4">
        <f t="shared" si="42"/>
        <v>0.84930094710392368</v>
      </c>
      <c r="AA65" s="4">
        <f t="shared" si="42"/>
        <v>0.89582572715102837</v>
      </c>
      <c r="AB65" s="4">
        <f t="shared" si="42"/>
        <v>0.92234968582463828</v>
      </c>
      <c r="AC65" s="15"/>
      <c r="AD65" s="15"/>
      <c r="AE65" s="4">
        <f t="shared" si="42"/>
        <v>0.93515881708652793</v>
      </c>
    </row>
    <row r="66" spans="1:31" ht="15.75" thickBot="1" x14ac:dyDescent="0.3">
      <c r="A66" s="20"/>
      <c r="B66" s="16"/>
      <c r="C66" s="54"/>
      <c r="D66" s="7"/>
      <c r="E66" s="26"/>
      <c r="F66" s="26"/>
      <c r="G66" s="7"/>
      <c r="H66" s="16"/>
      <c r="I66" s="16"/>
      <c r="J66" s="72"/>
      <c r="K66" s="73"/>
      <c r="L66" s="7"/>
      <c r="M66" s="7"/>
      <c r="N66" s="7"/>
      <c r="O66" s="16"/>
      <c r="P66" s="16"/>
      <c r="Q66" s="72"/>
      <c r="R66" s="73"/>
      <c r="S66" s="7"/>
      <c r="T66" s="7"/>
      <c r="U66" s="7"/>
      <c r="V66" s="16"/>
      <c r="W66" s="16"/>
      <c r="X66" s="72"/>
      <c r="Y66" s="73"/>
      <c r="Z66" s="7"/>
      <c r="AA66" s="82"/>
      <c r="AB66" s="82"/>
      <c r="AC66" s="16"/>
      <c r="AD66" s="16"/>
      <c r="AE66" s="72"/>
    </row>
    <row r="68" spans="1:31" ht="15.75" thickBot="1" x14ac:dyDescent="0.3"/>
    <row r="69" spans="1:31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</row>
    <row r="70" spans="1:31" x14ac:dyDescent="0.25">
      <c r="A70" s="19" t="s">
        <v>8</v>
      </c>
      <c r="B70" s="60"/>
      <c r="C70" s="59"/>
      <c r="D70" s="56">
        <v>0</v>
      </c>
      <c r="E70" s="56">
        <v>993</v>
      </c>
      <c r="F70" s="56">
        <v>1831</v>
      </c>
      <c r="G70" s="56">
        <v>2464</v>
      </c>
      <c r="H70" s="60"/>
      <c r="I70" s="60"/>
      <c r="J70" s="68">
        <v>3594</v>
      </c>
      <c r="K70" s="69">
        <v>3594</v>
      </c>
      <c r="L70" s="56">
        <v>3898</v>
      </c>
      <c r="M70" s="56">
        <v>4422</v>
      </c>
      <c r="N70" s="56">
        <v>5908</v>
      </c>
      <c r="O70" s="60"/>
      <c r="P70" s="60"/>
      <c r="Q70" s="68">
        <v>6432</v>
      </c>
      <c r="R70" s="69">
        <v>6535</v>
      </c>
      <c r="S70" s="56">
        <v>6643</v>
      </c>
      <c r="T70" s="56">
        <v>8327</v>
      </c>
      <c r="U70" s="56">
        <v>11066</v>
      </c>
      <c r="V70" s="60"/>
      <c r="W70" s="60"/>
      <c r="X70" s="68">
        <v>12023</v>
      </c>
      <c r="Y70" s="69">
        <v>13471</v>
      </c>
      <c r="Z70" s="56">
        <v>14323</v>
      </c>
      <c r="AA70" s="80">
        <v>15746</v>
      </c>
      <c r="AB70" s="80">
        <v>16429</v>
      </c>
      <c r="AC70" s="60"/>
      <c r="AD70" s="60"/>
      <c r="AE70" s="68">
        <v>17761</v>
      </c>
    </row>
    <row r="71" spans="1:31" x14ac:dyDescent="0.25">
      <c r="A71" s="19" t="s">
        <v>1</v>
      </c>
      <c r="B71" s="63"/>
      <c r="C71" s="62"/>
      <c r="D71" s="52">
        <v>861</v>
      </c>
      <c r="E71" s="52">
        <f>D71+861</f>
        <v>1722</v>
      </c>
      <c r="F71" s="52">
        <f t="shared" ref="F71:G71" si="43">E71+861</f>
        <v>2583</v>
      </c>
      <c r="G71" s="52">
        <f t="shared" si="43"/>
        <v>3444</v>
      </c>
      <c r="H71" s="63"/>
      <c r="I71" s="63"/>
      <c r="J71" s="70">
        <f>G71+861</f>
        <v>4305</v>
      </c>
      <c r="K71" s="71">
        <f>J71+861</f>
        <v>5166</v>
      </c>
      <c r="L71" s="71">
        <f t="shared" ref="L71:N71" si="44">K71+861</f>
        <v>6027</v>
      </c>
      <c r="M71" s="71">
        <f t="shared" si="44"/>
        <v>6888</v>
      </c>
      <c r="N71" s="71">
        <f t="shared" si="44"/>
        <v>7749</v>
      </c>
      <c r="O71" s="63"/>
      <c r="P71" s="63"/>
      <c r="Q71" s="70">
        <f>N71+861</f>
        <v>8610</v>
      </c>
      <c r="R71" s="71">
        <f>Q71+861</f>
        <v>9471</v>
      </c>
      <c r="S71" s="71">
        <f t="shared" ref="S71:U71" si="45">R71+861</f>
        <v>10332</v>
      </c>
      <c r="T71" s="71">
        <f t="shared" si="45"/>
        <v>11193</v>
      </c>
      <c r="U71" s="71">
        <f t="shared" si="45"/>
        <v>12054</v>
      </c>
      <c r="V71" s="63"/>
      <c r="W71" s="63"/>
      <c r="X71" s="70">
        <f>U71+861</f>
        <v>12915</v>
      </c>
      <c r="Y71" s="71">
        <f>X71+861</f>
        <v>13776</v>
      </c>
      <c r="Z71" s="71">
        <f t="shared" ref="Z71:AB71" si="46">Y71+861</f>
        <v>14637</v>
      </c>
      <c r="AA71" s="71">
        <f t="shared" si="46"/>
        <v>15498</v>
      </c>
      <c r="AB71" s="71">
        <f t="shared" si="46"/>
        <v>16359</v>
      </c>
      <c r="AC71" s="63"/>
      <c r="AD71" s="63"/>
      <c r="AE71" s="83">
        <f>AB71+861</f>
        <v>17220</v>
      </c>
    </row>
    <row r="72" spans="1:31" x14ac:dyDescent="0.25">
      <c r="A72" s="19" t="s">
        <v>2</v>
      </c>
      <c r="B72" s="15"/>
      <c r="C72" s="53"/>
      <c r="D72" s="4">
        <f>D70/D71</f>
        <v>0</v>
      </c>
      <c r="E72" s="4">
        <f t="shared" ref="E72:AE72" si="47">E70/E71</f>
        <v>0.5766550522648084</v>
      </c>
      <c r="F72" s="4">
        <f t="shared" si="47"/>
        <v>0.70886566008517227</v>
      </c>
      <c r="G72" s="4">
        <f t="shared" si="47"/>
        <v>0.71544715447154472</v>
      </c>
      <c r="H72" s="15"/>
      <c r="I72" s="15"/>
      <c r="J72" s="4">
        <f t="shared" si="47"/>
        <v>0.83484320557491287</v>
      </c>
      <c r="K72" s="4">
        <f t="shared" si="47"/>
        <v>0.69570267131242736</v>
      </c>
      <c r="L72" s="4">
        <f t="shared" si="47"/>
        <v>0.64675626348100212</v>
      </c>
      <c r="M72" s="4">
        <f t="shared" si="47"/>
        <v>0.64198606271777003</v>
      </c>
      <c r="N72" s="4">
        <f t="shared" si="47"/>
        <v>0.76242095754290873</v>
      </c>
      <c r="O72" s="15"/>
      <c r="P72" s="15"/>
      <c r="Q72" s="4">
        <f t="shared" si="47"/>
        <v>0.74703832752613242</v>
      </c>
      <c r="R72" s="4">
        <f t="shared" si="47"/>
        <v>0.69000105585471438</v>
      </c>
      <c r="S72" s="4">
        <f t="shared" si="47"/>
        <v>0.64295392953929542</v>
      </c>
      <c r="T72" s="4">
        <f t="shared" si="47"/>
        <v>0.74394710980076839</v>
      </c>
      <c r="U72" s="4">
        <f t="shared" si="47"/>
        <v>0.91803550688568114</v>
      </c>
      <c r="V72" s="15"/>
      <c r="W72" s="15"/>
      <c r="X72" s="4">
        <f t="shared" si="47"/>
        <v>0.93093302361595043</v>
      </c>
      <c r="Y72" s="4">
        <f t="shared" si="47"/>
        <v>0.97786004645760738</v>
      </c>
      <c r="Z72" s="4">
        <f t="shared" si="47"/>
        <v>0.97854751656760264</v>
      </c>
      <c r="AA72" s="4">
        <f t="shared" si="47"/>
        <v>1.0160020647825525</v>
      </c>
      <c r="AB72" s="4">
        <f t="shared" si="47"/>
        <v>1.0042789901583227</v>
      </c>
      <c r="AC72" s="15"/>
      <c r="AD72" s="15"/>
      <c r="AE72" s="4">
        <f t="shared" si="47"/>
        <v>1.0314169570267131</v>
      </c>
    </row>
    <row r="73" spans="1:31" ht="15.75" thickBot="1" x14ac:dyDescent="0.3">
      <c r="A73" s="20"/>
      <c r="B73" s="16"/>
      <c r="C73" s="54"/>
      <c r="D73" s="7"/>
      <c r="E73" s="26"/>
      <c r="F73" s="26"/>
      <c r="G73" s="7"/>
      <c r="H73" s="16"/>
      <c r="I73" s="16"/>
      <c r="J73" s="72"/>
      <c r="K73" s="73"/>
      <c r="L73" s="7"/>
      <c r="M73" s="7"/>
      <c r="N73" s="7"/>
      <c r="O73" s="16"/>
      <c r="P73" s="16"/>
      <c r="Q73" s="72"/>
      <c r="R73" s="73"/>
      <c r="S73" s="7"/>
      <c r="T73" s="7"/>
      <c r="U73" s="7"/>
      <c r="V73" s="16"/>
      <c r="W73" s="16"/>
      <c r="X73" s="72"/>
      <c r="Y73" s="73"/>
      <c r="Z73" s="7"/>
      <c r="AA73" s="82"/>
      <c r="AB73" s="82"/>
      <c r="AC73" s="16"/>
      <c r="AD73" s="16"/>
      <c r="AE73" s="72"/>
    </row>
  </sheetData>
  <mergeCells count="1">
    <mergeCell ref="C1:W1"/>
  </mergeCells>
  <pageMargins left="0.7" right="0.7" top="0.75" bottom="0.75" header="0.3" footer="0.3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73"/>
  <sheetViews>
    <sheetView topLeftCell="G13" zoomScale="70" zoomScaleNormal="70" workbookViewId="0">
      <selection activeCell="AH41" sqref="AH41"/>
    </sheetView>
  </sheetViews>
  <sheetFormatPr baseColWidth="10" defaultRowHeight="15" x14ac:dyDescent="0.25"/>
  <cols>
    <col min="1" max="1" width="56.7109375" customWidth="1"/>
    <col min="2" max="23" width="8.7109375" customWidth="1"/>
    <col min="24" max="24" width="11.5703125" bestFit="1" customWidth="1"/>
    <col min="25" max="25" width="10.28515625" customWidth="1"/>
    <col min="26" max="26" width="10.140625" customWidth="1"/>
    <col min="27" max="28" width="11" style="39" bestFit="1" customWidth="1"/>
    <col min="29" max="30" width="8.7109375" customWidth="1"/>
    <col min="31" max="31" width="10.140625" bestFit="1" customWidth="1"/>
    <col min="32" max="32" width="10.7109375" bestFit="1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>
        <f>19</f>
        <v>19</v>
      </c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59"/>
      <c r="C8" s="56">
        <v>1739</v>
      </c>
      <c r="D8" s="56">
        <v>16289</v>
      </c>
      <c r="E8" s="56">
        <v>29661</v>
      </c>
      <c r="F8" s="60"/>
      <c r="G8" s="60"/>
      <c r="H8" s="56">
        <v>31600</v>
      </c>
      <c r="I8" s="59"/>
      <c r="J8" s="68">
        <v>35764</v>
      </c>
      <c r="K8" s="59"/>
      <c r="L8" s="56"/>
      <c r="M8" s="60"/>
      <c r="N8" s="60"/>
      <c r="O8" s="56">
        <v>45659</v>
      </c>
      <c r="P8" s="56">
        <v>46272</v>
      </c>
      <c r="Q8" s="68">
        <v>51351</v>
      </c>
      <c r="R8" s="69">
        <v>54992</v>
      </c>
      <c r="S8" s="56">
        <v>58148</v>
      </c>
      <c r="T8" s="60"/>
      <c r="U8" s="60"/>
      <c r="V8" s="59"/>
      <c r="W8" s="56">
        <v>62958</v>
      </c>
      <c r="X8" s="68">
        <v>66887</v>
      </c>
      <c r="Y8" s="69">
        <v>74064</v>
      </c>
      <c r="Z8" s="56">
        <v>81505</v>
      </c>
      <c r="AA8" s="86"/>
      <c r="AB8" s="86"/>
      <c r="AC8" s="56">
        <v>83472</v>
      </c>
      <c r="AD8" s="56">
        <v>88797</v>
      </c>
      <c r="AE8" s="68">
        <v>89864</v>
      </c>
      <c r="AF8" s="69">
        <v>105450</v>
      </c>
      <c r="AG8" s="58"/>
      <c r="AH8" s="2"/>
      <c r="AI8" s="2"/>
      <c r="AJ8" s="2"/>
      <c r="AK8" s="10"/>
    </row>
    <row r="9" spans="1:37" x14ac:dyDescent="0.25">
      <c r="A9" s="19" t="s">
        <v>1</v>
      </c>
      <c r="B9" s="62"/>
      <c r="C9" s="52">
        <f>5856</f>
        <v>5856</v>
      </c>
      <c r="D9" s="52">
        <f>C9+5856</f>
        <v>11712</v>
      </c>
      <c r="E9" s="52">
        <f>D9+5856</f>
        <v>17568</v>
      </c>
      <c r="F9" s="63"/>
      <c r="G9" s="63"/>
      <c r="H9" s="52">
        <f>E9+5856</f>
        <v>23424</v>
      </c>
      <c r="I9" s="62"/>
      <c r="J9" s="70">
        <f>H9+5856</f>
        <v>29280</v>
      </c>
      <c r="K9" s="62"/>
      <c r="L9" s="71">
        <f>J9+5856</f>
        <v>35136</v>
      </c>
      <c r="M9" s="85"/>
      <c r="N9" s="85"/>
      <c r="O9" s="52">
        <f>L9+5856</f>
        <v>40992</v>
      </c>
      <c r="P9" s="52">
        <f>O9+5856</f>
        <v>46848</v>
      </c>
      <c r="Q9" s="52">
        <f t="shared" ref="Q9:S9" si="0">P9+5856</f>
        <v>52704</v>
      </c>
      <c r="R9" s="52">
        <f t="shared" si="0"/>
        <v>58560</v>
      </c>
      <c r="S9" s="52">
        <f t="shared" si="0"/>
        <v>64416</v>
      </c>
      <c r="T9" s="85"/>
      <c r="U9" s="85"/>
      <c r="V9" s="62"/>
      <c r="W9" s="52">
        <f>S9+5856</f>
        <v>70272</v>
      </c>
      <c r="X9" s="70">
        <f>W9+5856</f>
        <v>76128</v>
      </c>
      <c r="Y9" s="70">
        <f t="shared" ref="Y9:Z9" si="1">X9+5856</f>
        <v>81984</v>
      </c>
      <c r="Z9" s="70">
        <f t="shared" si="1"/>
        <v>87840</v>
      </c>
      <c r="AA9" s="85"/>
      <c r="AB9" s="85"/>
      <c r="AC9" s="52">
        <f>Z9+5856</f>
        <v>93696</v>
      </c>
      <c r="AD9" s="52">
        <f>AC9+5856</f>
        <v>99552</v>
      </c>
      <c r="AE9" s="52">
        <f t="shared" ref="AE9:AF9" si="2">AD9+5856</f>
        <v>105408</v>
      </c>
      <c r="AF9" s="52">
        <f t="shared" si="2"/>
        <v>111264</v>
      </c>
      <c r="AG9" s="58"/>
      <c r="AH9" s="2"/>
      <c r="AI9" s="2"/>
      <c r="AJ9" s="2"/>
      <c r="AK9" s="2"/>
    </row>
    <row r="10" spans="1:37" x14ac:dyDescent="0.25">
      <c r="A10" s="19" t="s">
        <v>2</v>
      </c>
      <c r="B10" s="53"/>
      <c r="C10" s="4">
        <f>C8/C9</f>
        <v>0.29696038251366119</v>
      </c>
      <c r="D10" s="4">
        <f t="shared" ref="D10:AF10" si="3">D8/D9</f>
        <v>1.3907957650273224</v>
      </c>
      <c r="E10" s="4">
        <f t="shared" si="3"/>
        <v>1.6883538251366119</v>
      </c>
      <c r="F10" s="15"/>
      <c r="G10" s="15"/>
      <c r="H10" s="4">
        <f t="shared" si="3"/>
        <v>1.3490437158469946</v>
      </c>
      <c r="I10" s="53"/>
      <c r="J10" s="4">
        <f t="shared" si="3"/>
        <v>1.221448087431694</v>
      </c>
      <c r="K10" s="53"/>
      <c r="L10" s="4">
        <f t="shared" si="3"/>
        <v>0</v>
      </c>
      <c r="M10" s="15"/>
      <c r="N10" s="15"/>
      <c r="O10" s="4">
        <f t="shared" si="3"/>
        <v>1.1138514832162374</v>
      </c>
      <c r="P10" s="4">
        <f t="shared" si="3"/>
        <v>0.98770491803278693</v>
      </c>
      <c r="Q10" s="4">
        <f t="shared" si="3"/>
        <v>0.97432832422586524</v>
      </c>
      <c r="R10" s="4">
        <f t="shared" si="3"/>
        <v>0.93907103825136617</v>
      </c>
      <c r="S10" s="4">
        <f t="shared" si="3"/>
        <v>0.9026949826130154</v>
      </c>
      <c r="T10" s="15"/>
      <c r="U10" s="15"/>
      <c r="V10" s="53"/>
      <c r="W10" s="4">
        <f t="shared" si="3"/>
        <v>0.89591871584699456</v>
      </c>
      <c r="X10" s="4">
        <f t="shared" si="3"/>
        <v>0.87861233711643549</v>
      </c>
      <c r="Y10" s="4">
        <f t="shared" si="3"/>
        <v>0.90339578454332548</v>
      </c>
      <c r="Z10" s="4">
        <f t="shared" si="3"/>
        <v>0.9278802367941712</v>
      </c>
      <c r="AA10" s="15"/>
      <c r="AB10" s="15"/>
      <c r="AC10" s="4">
        <f t="shared" si="3"/>
        <v>0.89088114754098358</v>
      </c>
      <c r="AD10" s="4">
        <f t="shared" si="3"/>
        <v>0.89196600771456125</v>
      </c>
      <c r="AE10" s="4">
        <f t="shared" si="3"/>
        <v>0.85253491196114151</v>
      </c>
      <c r="AF10" s="4">
        <f t="shared" si="3"/>
        <v>0.94774590163934425</v>
      </c>
      <c r="AG10" s="11"/>
      <c r="AH10" s="11"/>
      <c r="AI10" s="11"/>
      <c r="AJ10" s="11"/>
      <c r="AK10" s="11"/>
    </row>
    <row r="11" spans="1:37" ht="15.75" thickBot="1" x14ac:dyDescent="0.3">
      <c r="A11" s="20"/>
      <c r="B11" s="54"/>
      <c r="C11" s="7"/>
      <c r="D11" s="7"/>
      <c r="E11" s="26"/>
      <c r="F11" s="88"/>
      <c r="G11" s="16"/>
      <c r="H11" s="7"/>
      <c r="I11" s="54"/>
      <c r="J11" s="72"/>
      <c r="K11" s="54"/>
      <c r="L11" s="7"/>
      <c r="M11" s="16"/>
      <c r="N11" s="16"/>
      <c r="O11" s="7"/>
      <c r="P11" s="7"/>
      <c r="Q11" s="72"/>
      <c r="R11" s="73"/>
      <c r="S11" s="7"/>
      <c r="T11" s="16"/>
      <c r="U11" s="16"/>
      <c r="V11" s="54"/>
      <c r="W11" s="7"/>
      <c r="X11" s="72"/>
      <c r="Y11" s="73"/>
      <c r="Z11" s="7"/>
      <c r="AA11" s="87"/>
      <c r="AB11" s="87"/>
      <c r="AC11" s="7"/>
      <c r="AD11" s="7"/>
      <c r="AE11" s="72"/>
      <c r="AF11" s="73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11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11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59"/>
      <c r="C15" s="56">
        <v>0</v>
      </c>
      <c r="D15" s="56">
        <v>496</v>
      </c>
      <c r="E15" s="56">
        <v>2096</v>
      </c>
      <c r="F15" s="60"/>
      <c r="G15" s="60"/>
      <c r="H15" s="56">
        <v>2702</v>
      </c>
      <c r="I15" s="59"/>
      <c r="J15" s="68">
        <v>3391</v>
      </c>
      <c r="K15" s="59"/>
      <c r="L15" s="56"/>
      <c r="M15" s="60"/>
      <c r="N15" s="60"/>
      <c r="O15" s="56">
        <v>5000</v>
      </c>
      <c r="P15" s="56">
        <v>5000</v>
      </c>
      <c r="Q15" s="68">
        <v>5565</v>
      </c>
      <c r="R15" s="69">
        <v>6207</v>
      </c>
      <c r="S15" s="56">
        <v>6273</v>
      </c>
      <c r="T15" s="60"/>
      <c r="U15" s="60"/>
      <c r="V15" s="59"/>
      <c r="W15" s="56">
        <v>6884</v>
      </c>
      <c r="X15" s="68">
        <v>6884</v>
      </c>
      <c r="Y15" s="69">
        <v>7337</v>
      </c>
      <c r="Z15" s="56">
        <v>8835</v>
      </c>
      <c r="AA15" s="86"/>
      <c r="AB15" s="86"/>
      <c r="AC15" s="56">
        <v>8835</v>
      </c>
      <c r="AD15" s="56">
        <v>8835</v>
      </c>
      <c r="AE15" s="68">
        <v>8835</v>
      </c>
      <c r="AF15" s="69">
        <v>8835</v>
      </c>
      <c r="AG15" s="32"/>
    </row>
    <row r="16" spans="1:37" x14ac:dyDescent="0.25">
      <c r="A16" s="19" t="s">
        <v>1</v>
      </c>
      <c r="B16" s="62"/>
      <c r="C16" s="52">
        <v>792</v>
      </c>
      <c r="D16" s="52">
        <f>C16+792</f>
        <v>1584</v>
      </c>
      <c r="E16" s="52">
        <f>D16+792</f>
        <v>2376</v>
      </c>
      <c r="F16" s="63"/>
      <c r="G16" s="63"/>
      <c r="H16" s="52">
        <f>E16+792</f>
        <v>3168</v>
      </c>
      <c r="I16" s="62"/>
      <c r="J16" s="70">
        <f>H16+792</f>
        <v>3960</v>
      </c>
      <c r="K16" s="62"/>
      <c r="L16" s="71">
        <f>J16+792</f>
        <v>4752</v>
      </c>
      <c r="M16" s="85"/>
      <c r="N16" s="85"/>
      <c r="O16" s="52">
        <f>L16+792</f>
        <v>5544</v>
      </c>
      <c r="P16" s="52">
        <f>O16+792</f>
        <v>6336</v>
      </c>
      <c r="Q16" s="52">
        <f t="shared" ref="Q16:S16" si="4">P16+792</f>
        <v>7128</v>
      </c>
      <c r="R16" s="52">
        <f t="shared" si="4"/>
        <v>7920</v>
      </c>
      <c r="S16" s="52">
        <f t="shared" si="4"/>
        <v>8712</v>
      </c>
      <c r="T16" s="85"/>
      <c r="U16" s="85"/>
      <c r="V16" s="62"/>
      <c r="W16" s="52">
        <f>S16+792</f>
        <v>9504</v>
      </c>
      <c r="X16" s="70">
        <f>W16+792</f>
        <v>10296</v>
      </c>
      <c r="Y16" s="70">
        <f t="shared" ref="Y16:Z16" si="5">X16+792</f>
        <v>11088</v>
      </c>
      <c r="Z16" s="70">
        <f t="shared" si="5"/>
        <v>11880</v>
      </c>
      <c r="AA16" s="85"/>
      <c r="AB16" s="85"/>
      <c r="AC16" s="52">
        <f>Z16+792</f>
        <v>12672</v>
      </c>
      <c r="AD16" s="52">
        <f>AC16+792</f>
        <v>13464</v>
      </c>
      <c r="AE16" s="52">
        <f t="shared" ref="AE16:AF16" si="6">AD16+792</f>
        <v>14256</v>
      </c>
      <c r="AF16" s="52">
        <f t="shared" si="6"/>
        <v>15048</v>
      </c>
      <c r="AG16" s="32"/>
    </row>
    <row r="17" spans="1:33" x14ac:dyDescent="0.25">
      <c r="A17" s="19" t="s">
        <v>2</v>
      </c>
      <c r="B17" s="53"/>
      <c r="C17" s="4">
        <f>C15/C16</f>
        <v>0</v>
      </c>
      <c r="D17" s="4">
        <f t="shared" ref="D17:AF17" si="7">D15/D16</f>
        <v>0.31313131313131315</v>
      </c>
      <c r="E17" s="4">
        <f t="shared" si="7"/>
        <v>0.88215488215488214</v>
      </c>
      <c r="F17" s="15"/>
      <c r="G17" s="15"/>
      <c r="H17" s="4">
        <f t="shared" si="7"/>
        <v>0.85290404040404044</v>
      </c>
      <c r="I17" s="53"/>
      <c r="J17" s="4">
        <f t="shared" si="7"/>
        <v>0.85631313131313136</v>
      </c>
      <c r="K17" s="53"/>
      <c r="L17" s="4">
        <f t="shared" si="7"/>
        <v>0</v>
      </c>
      <c r="M17" s="15"/>
      <c r="N17" s="15"/>
      <c r="O17" s="4">
        <f t="shared" si="7"/>
        <v>0.90187590187590183</v>
      </c>
      <c r="P17" s="4">
        <f t="shared" si="7"/>
        <v>0.78914141414141414</v>
      </c>
      <c r="Q17" s="4">
        <f t="shared" si="7"/>
        <v>0.78072390572390571</v>
      </c>
      <c r="R17" s="4">
        <f t="shared" si="7"/>
        <v>0.78371212121212119</v>
      </c>
      <c r="S17" s="4">
        <f t="shared" si="7"/>
        <v>0.7200413223140496</v>
      </c>
      <c r="T17" s="15"/>
      <c r="U17" s="15"/>
      <c r="V17" s="53"/>
      <c r="W17" s="4">
        <f t="shared" si="7"/>
        <v>0.72432659932659937</v>
      </c>
      <c r="X17" s="4">
        <f t="shared" si="7"/>
        <v>0.66860916860916864</v>
      </c>
      <c r="Y17" s="4">
        <f t="shared" si="7"/>
        <v>0.66170634920634919</v>
      </c>
      <c r="Z17" s="4">
        <f t="shared" si="7"/>
        <v>0.74368686868686873</v>
      </c>
      <c r="AA17" s="15"/>
      <c r="AB17" s="15"/>
      <c r="AC17" s="4">
        <f t="shared" si="7"/>
        <v>0.69720643939393945</v>
      </c>
      <c r="AD17" s="4">
        <f t="shared" si="7"/>
        <v>0.6561942959001783</v>
      </c>
      <c r="AE17" s="4">
        <f t="shared" si="7"/>
        <v>0.6197390572390572</v>
      </c>
      <c r="AF17" s="4">
        <f t="shared" si="7"/>
        <v>0.58712121212121215</v>
      </c>
      <c r="AG17" s="32"/>
    </row>
    <row r="18" spans="1:33" ht="15.75" thickBot="1" x14ac:dyDescent="0.3">
      <c r="A18" s="20"/>
      <c r="B18" s="54"/>
      <c r="C18" s="7"/>
      <c r="D18" s="7"/>
      <c r="E18" s="26"/>
      <c r="F18" s="88"/>
      <c r="G18" s="16"/>
      <c r="H18" s="7"/>
      <c r="I18" s="54"/>
      <c r="J18" s="72"/>
      <c r="K18" s="54"/>
      <c r="L18" s="7"/>
      <c r="M18" s="16"/>
      <c r="N18" s="16"/>
      <c r="O18" s="7"/>
      <c r="P18" s="7"/>
      <c r="Q18" s="72"/>
      <c r="R18" s="73"/>
      <c r="S18" s="7"/>
      <c r="T18" s="16"/>
      <c r="U18" s="16"/>
      <c r="V18" s="54"/>
      <c r="W18" s="7"/>
      <c r="X18" s="72"/>
      <c r="Y18" s="73"/>
      <c r="Z18" s="7"/>
      <c r="AA18" s="87"/>
      <c r="AB18" s="87"/>
      <c r="AC18" s="7"/>
      <c r="AD18" s="7"/>
      <c r="AE18" s="72"/>
      <c r="AF18" s="73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11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14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</row>
    <row r="22" spans="1:33" x14ac:dyDescent="0.25">
      <c r="A22" s="19" t="s">
        <v>8</v>
      </c>
      <c r="B22" s="59"/>
      <c r="C22" s="56">
        <v>0</v>
      </c>
      <c r="D22" s="56">
        <v>1889</v>
      </c>
      <c r="E22" s="56">
        <v>5893</v>
      </c>
      <c r="F22" s="60"/>
      <c r="G22" s="60"/>
      <c r="H22" s="56">
        <v>6282</v>
      </c>
      <c r="I22" s="59"/>
      <c r="J22" s="68">
        <v>8418</v>
      </c>
      <c r="K22" s="59"/>
      <c r="L22" s="56"/>
      <c r="M22" s="60"/>
      <c r="N22" s="60"/>
      <c r="O22" s="56">
        <v>13857</v>
      </c>
      <c r="P22" s="56">
        <v>17124</v>
      </c>
      <c r="Q22" s="68">
        <v>18375</v>
      </c>
      <c r="R22" s="69">
        <v>21403</v>
      </c>
      <c r="S22" s="56">
        <v>23503</v>
      </c>
      <c r="T22" s="60"/>
      <c r="U22" s="60"/>
      <c r="V22" s="59"/>
      <c r="W22" s="56">
        <v>26373</v>
      </c>
      <c r="X22" s="68">
        <v>28704</v>
      </c>
      <c r="Y22" s="69">
        <v>30935</v>
      </c>
      <c r="Z22" s="56">
        <v>31904</v>
      </c>
      <c r="AA22" s="86"/>
      <c r="AB22" s="86"/>
      <c r="AC22" s="56">
        <v>39124</v>
      </c>
      <c r="AD22" s="56">
        <v>41667</v>
      </c>
      <c r="AE22" s="68">
        <v>46980</v>
      </c>
      <c r="AF22" s="69">
        <v>54051</v>
      </c>
      <c r="AG22" s="32"/>
    </row>
    <row r="23" spans="1:33" x14ac:dyDescent="0.25">
      <c r="A23" s="19" t="s">
        <v>1</v>
      </c>
      <c r="B23" s="62"/>
      <c r="C23" s="52">
        <v>2877</v>
      </c>
      <c r="D23" s="52">
        <f>C23+2877</f>
        <v>5754</v>
      </c>
      <c r="E23" s="52">
        <f>D23+2877</f>
        <v>8631</v>
      </c>
      <c r="F23" s="63"/>
      <c r="G23" s="63"/>
      <c r="H23" s="52">
        <f>E23+2877</f>
        <v>11508</v>
      </c>
      <c r="I23" s="62"/>
      <c r="J23" s="70">
        <f>H23+2877</f>
        <v>14385</v>
      </c>
      <c r="K23" s="62"/>
      <c r="L23" s="71">
        <f>J23+2877</f>
        <v>17262</v>
      </c>
      <c r="M23" s="85"/>
      <c r="N23" s="85"/>
      <c r="O23" s="52">
        <f>L23+2877</f>
        <v>20139</v>
      </c>
      <c r="P23" s="52">
        <f>O23+2877</f>
        <v>23016</v>
      </c>
      <c r="Q23" s="52">
        <f t="shared" ref="Q23:S23" si="8">P23+2877</f>
        <v>25893</v>
      </c>
      <c r="R23" s="52">
        <f t="shared" si="8"/>
        <v>28770</v>
      </c>
      <c r="S23" s="52">
        <f t="shared" si="8"/>
        <v>31647</v>
      </c>
      <c r="T23" s="85"/>
      <c r="U23" s="85"/>
      <c r="V23" s="62"/>
      <c r="W23" s="52">
        <f>S23+2877</f>
        <v>34524</v>
      </c>
      <c r="X23" s="70">
        <f>W23+2877</f>
        <v>37401</v>
      </c>
      <c r="Y23" s="70">
        <f t="shared" ref="Y23:Z23" si="9">X23+2877</f>
        <v>40278</v>
      </c>
      <c r="Z23" s="70">
        <f t="shared" si="9"/>
        <v>43155</v>
      </c>
      <c r="AA23" s="85"/>
      <c r="AB23" s="85"/>
      <c r="AC23" s="52">
        <f>Z23+2877</f>
        <v>46032</v>
      </c>
      <c r="AD23" s="52">
        <f>AC23+2877</f>
        <v>48909</v>
      </c>
      <c r="AE23" s="52">
        <f t="shared" ref="AE23:AF23" si="10">AD23+2877</f>
        <v>51786</v>
      </c>
      <c r="AF23" s="52">
        <f t="shared" si="10"/>
        <v>54663</v>
      </c>
      <c r="AG23" s="32"/>
    </row>
    <row r="24" spans="1:33" x14ac:dyDescent="0.25">
      <c r="A24" s="19" t="s">
        <v>2</v>
      </c>
      <c r="B24" s="53"/>
      <c r="C24" s="4">
        <f>C22/C23</f>
        <v>0</v>
      </c>
      <c r="D24" s="4">
        <f t="shared" ref="D24:AF24" si="11">D22/D23</f>
        <v>0.32829336114007646</v>
      </c>
      <c r="E24" s="4">
        <f t="shared" si="11"/>
        <v>0.68277140539914261</v>
      </c>
      <c r="F24" s="15"/>
      <c r="G24" s="15"/>
      <c r="H24" s="4">
        <f t="shared" si="11"/>
        <v>0.54588112617309703</v>
      </c>
      <c r="I24" s="53"/>
      <c r="J24" s="4">
        <f t="shared" si="11"/>
        <v>0.5851929092805005</v>
      </c>
      <c r="K24" s="53"/>
      <c r="L24" s="4">
        <f t="shared" si="11"/>
        <v>0</v>
      </c>
      <c r="M24" s="15"/>
      <c r="N24" s="15"/>
      <c r="O24" s="4">
        <f t="shared" si="11"/>
        <v>0.68806792790108739</v>
      </c>
      <c r="P24" s="4">
        <f t="shared" si="11"/>
        <v>0.74400417101147032</v>
      </c>
      <c r="Q24" s="4">
        <f t="shared" si="11"/>
        <v>0.70965125709651256</v>
      </c>
      <c r="R24" s="4">
        <f t="shared" si="11"/>
        <v>0.74393465415363225</v>
      </c>
      <c r="S24" s="4">
        <f t="shared" si="11"/>
        <v>0.74266123171232656</v>
      </c>
      <c r="T24" s="15"/>
      <c r="U24" s="15"/>
      <c r="V24" s="53"/>
      <c r="W24" s="4">
        <f t="shared" si="11"/>
        <v>0.76390337156760513</v>
      </c>
      <c r="X24" s="4">
        <f t="shared" si="11"/>
        <v>0.76746611053180391</v>
      </c>
      <c r="Y24" s="4">
        <f t="shared" si="11"/>
        <v>0.76803714186404493</v>
      </c>
      <c r="Z24" s="4">
        <f t="shared" si="11"/>
        <v>0.73928861082145758</v>
      </c>
      <c r="AA24" s="15"/>
      <c r="AB24" s="15"/>
      <c r="AC24" s="4">
        <f t="shared" si="11"/>
        <v>0.84993048314216202</v>
      </c>
      <c r="AD24" s="4">
        <f t="shared" si="11"/>
        <v>0.85192909280500517</v>
      </c>
      <c r="AE24" s="4">
        <f t="shared" si="11"/>
        <v>0.90719499478623566</v>
      </c>
      <c r="AF24" s="4">
        <f t="shared" si="11"/>
        <v>0.98880412710608634</v>
      </c>
      <c r="AG24" s="32"/>
    </row>
    <row r="25" spans="1:33" ht="15.75" thickBot="1" x14ac:dyDescent="0.3">
      <c r="A25" s="20"/>
      <c r="B25" s="54"/>
      <c r="C25" s="7"/>
      <c r="D25" s="7"/>
      <c r="E25" s="26"/>
      <c r="F25" s="88"/>
      <c r="G25" s="16"/>
      <c r="H25" s="7"/>
      <c r="I25" s="54"/>
      <c r="J25" s="72"/>
      <c r="K25" s="54"/>
      <c r="L25" s="7"/>
      <c r="M25" s="16"/>
      <c r="N25" s="16"/>
      <c r="O25" s="7"/>
      <c r="P25" s="7"/>
      <c r="Q25" s="72"/>
      <c r="R25" s="73"/>
      <c r="S25" s="7"/>
      <c r="T25" s="16"/>
      <c r="U25" s="16"/>
      <c r="V25" s="54"/>
      <c r="W25" s="7"/>
      <c r="X25" s="72"/>
      <c r="Y25" s="73"/>
      <c r="Z25" s="7"/>
      <c r="AA25" s="87"/>
      <c r="AB25" s="87"/>
      <c r="AC25" s="7"/>
      <c r="AD25" s="7"/>
      <c r="AE25" s="72"/>
      <c r="AF25" s="73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58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58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3" x14ac:dyDescent="0.25">
      <c r="A29" s="19" t="s">
        <v>8</v>
      </c>
      <c r="B29" s="59"/>
      <c r="C29" s="56">
        <v>935</v>
      </c>
      <c r="D29" s="56">
        <v>2571</v>
      </c>
      <c r="E29" s="56">
        <v>6196</v>
      </c>
      <c r="F29" s="60"/>
      <c r="G29" s="60"/>
      <c r="H29" s="56">
        <v>7176</v>
      </c>
      <c r="I29" s="59"/>
      <c r="J29" s="68">
        <v>8776</v>
      </c>
      <c r="K29" s="59"/>
      <c r="L29" s="56"/>
      <c r="M29" s="60"/>
      <c r="N29" s="60"/>
      <c r="O29" s="56">
        <v>10551</v>
      </c>
      <c r="P29" s="56">
        <v>12114</v>
      </c>
      <c r="Q29" s="68">
        <v>13061</v>
      </c>
      <c r="R29" s="69">
        <v>15629</v>
      </c>
      <c r="S29" s="56">
        <v>17725</v>
      </c>
      <c r="T29" s="60"/>
      <c r="U29" s="60"/>
      <c r="V29" s="59"/>
      <c r="W29" s="56">
        <v>18815</v>
      </c>
      <c r="X29" s="68">
        <v>20158</v>
      </c>
      <c r="Y29" s="69">
        <v>21279</v>
      </c>
      <c r="Z29" s="56">
        <v>22806</v>
      </c>
      <c r="AA29" s="86"/>
      <c r="AB29" s="86"/>
      <c r="AC29" s="56">
        <v>24176</v>
      </c>
      <c r="AD29" s="56">
        <v>27014</v>
      </c>
      <c r="AE29" s="68">
        <v>28199</v>
      </c>
      <c r="AF29" s="69">
        <v>34363</v>
      </c>
      <c r="AG29" s="32"/>
    </row>
    <row r="30" spans="1:33" x14ac:dyDescent="0.25">
      <c r="A30" s="19" t="s">
        <v>1</v>
      </c>
      <c r="B30" s="62"/>
      <c r="C30" s="52">
        <v>1770</v>
      </c>
      <c r="D30" s="52">
        <f>C30+1770</f>
        <v>3540</v>
      </c>
      <c r="E30" s="52">
        <f>D30+1770</f>
        <v>5310</v>
      </c>
      <c r="F30" s="63"/>
      <c r="G30" s="63"/>
      <c r="H30" s="52">
        <f>E30+1770</f>
        <v>7080</v>
      </c>
      <c r="I30" s="62"/>
      <c r="J30" s="70">
        <f>H30+1770</f>
        <v>8850</v>
      </c>
      <c r="K30" s="62"/>
      <c r="L30" s="71">
        <f>J30+1770</f>
        <v>10620</v>
      </c>
      <c r="M30" s="85"/>
      <c r="N30" s="85"/>
      <c r="O30" s="52">
        <f>L30+1770</f>
        <v>12390</v>
      </c>
      <c r="P30" s="52">
        <f>O30+1770</f>
        <v>14160</v>
      </c>
      <c r="Q30" s="52">
        <f t="shared" ref="Q30:S30" si="12">P30+1770</f>
        <v>15930</v>
      </c>
      <c r="R30" s="52">
        <f t="shared" si="12"/>
        <v>17700</v>
      </c>
      <c r="S30" s="52">
        <f t="shared" si="12"/>
        <v>19470</v>
      </c>
      <c r="T30" s="85"/>
      <c r="U30" s="85"/>
      <c r="V30" s="62"/>
      <c r="W30" s="52">
        <f>S30+1770</f>
        <v>21240</v>
      </c>
      <c r="X30" s="70">
        <f>W30+1770</f>
        <v>23010</v>
      </c>
      <c r="Y30" s="70">
        <f t="shared" ref="Y30:Z30" si="13">X30+1770</f>
        <v>24780</v>
      </c>
      <c r="Z30" s="70">
        <f t="shared" si="13"/>
        <v>26550</v>
      </c>
      <c r="AA30" s="85"/>
      <c r="AB30" s="85"/>
      <c r="AC30" s="52">
        <f>Z30+1770</f>
        <v>28320</v>
      </c>
      <c r="AD30" s="52">
        <f>AC30+1770</f>
        <v>30090</v>
      </c>
      <c r="AE30" s="52">
        <f t="shared" ref="AE30:AF30" si="14">AD30+1770</f>
        <v>31860</v>
      </c>
      <c r="AF30" s="52">
        <f t="shared" si="14"/>
        <v>33630</v>
      </c>
      <c r="AG30" s="32"/>
    </row>
    <row r="31" spans="1:33" x14ac:dyDescent="0.25">
      <c r="A31" s="19" t="s">
        <v>2</v>
      </c>
      <c r="B31" s="53"/>
      <c r="C31" s="4">
        <f>C29/C30</f>
        <v>0.52824858757062143</v>
      </c>
      <c r="D31" s="4">
        <f t="shared" ref="D31:AF31" si="15">D29/D30</f>
        <v>0.72627118644067801</v>
      </c>
      <c r="E31" s="4">
        <f t="shared" si="15"/>
        <v>1.1668549905838042</v>
      </c>
      <c r="F31" s="15"/>
      <c r="G31" s="15"/>
      <c r="H31" s="4">
        <f t="shared" si="15"/>
        <v>1.0135593220338983</v>
      </c>
      <c r="I31" s="53"/>
      <c r="J31" s="4">
        <f t="shared" si="15"/>
        <v>0.99163841807909603</v>
      </c>
      <c r="K31" s="53"/>
      <c r="L31" s="4">
        <f t="shared" si="15"/>
        <v>0</v>
      </c>
      <c r="M31" s="15"/>
      <c r="N31" s="15"/>
      <c r="O31" s="4">
        <f t="shared" si="15"/>
        <v>0.85157384987893459</v>
      </c>
      <c r="P31" s="4">
        <f t="shared" si="15"/>
        <v>0.85550847457627122</v>
      </c>
      <c r="Q31" s="4">
        <f t="shared" si="15"/>
        <v>0.81989956057752666</v>
      </c>
      <c r="R31" s="4">
        <f t="shared" si="15"/>
        <v>0.88299435028248585</v>
      </c>
      <c r="S31" s="4">
        <f t="shared" si="15"/>
        <v>0.91037493579866458</v>
      </c>
      <c r="T31" s="15"/>
      <c r="U31" s="15"/>
      <c r="V31" s="53"/>
      <c r="W31" s="4">
        <f t="shared" si="15"/>
        <v>0.88582862523540484</v>
      </c>
      <c r="X31" s="4">
        <f t="shared" si="15"/>
        <v>0.87605388961321162</v>
      </c>
      <c r="Y31" s="4">
        <f t="shared" si="15"/>
        <v>0.85871670702179181</v>
      </c>
      <c r="Z31" s="4">
        <f t="shared" si="15"/>
        <v>0.85898305084745763</v>
      </c>
      <c r="AA31" s="15"/>
      <c r="AB31" s="15"/>
      <c r="AC31" s="4">
        <f t="shared" si="15"/>
        <v>0.85367231638418084</v>
      </c>
      <c r="AD31" s="4">
        <f t="shared" si="15"/>
        <v>0.89777334662678632</v>
      </c>
      <c r="AE31" s="4">
        <f t="shared" si="15"/>
        <v>0.88509102322661648</v>
      </c>
      <c r="AF31" s="4">
        <f t="shared" si="15"/>
        <v>1.0217960154623849</v>
      </c>
      <c r="AG31" s="32"/>
    </row>
    <row r="32" spans="1:33" ht="15.75" thickBot="1" x14ac:dyDescent="0.3">
      <c r="A32" s="20"/>
      <c r="B32" s="54"/>
      <c r="C32" s="7"/>
      <c r="D32" s="7"/>
      <c r="E32" s="26"/>
      <c r="F32" s="88"/>
      <c r="G32" s="16"/>
      <c r="H32" s="7"/>
      <c r="I32" s="54"/>
      <c r="J32" s="72"/>
      <c r="K32" s="54"/>
      <c r="L32" s="7"/>
      <c r="M32" s="16"/>
      <c r="N32" s="16"/>
      <c r="O32" s="7"/>
      <c r="P32" s="7"/>
      <c r="Q32" s="72"/>
      <c r="R32" s="73"/>
      <c r="S32" s="7"/>
      <c r="T32" s="16"/>
      <c r="U32" s="16"/>
      <c r="V32" s="54"/>
      <c r="W32" s="7"/>
      <c r="X32" s="72"/>
      <c r="Y32" s="73"/>
      <c r="Z32" s="7"/>
      <c r="AA32" s="87"/>
      <c r="AB32" s="87"/>
      <c r="AC32" s="7"/>
      <c r="AD32" s="7"/>
      <c r="AE32" s="72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59"/>
      <c r="C36" s="56">
        <v>1400</v>
      </c>
      <c r="D36" s="56">
        <v>1629</v>
      </c>
      <c r="E36" s="56">
        <v>3828</v>
      </c>
      <c r="F36" s="60"/>
      <c r="G36" s="60"/>
      <c r="H36" s="56">
        <v>5433</v>
      </c>
      <c r="I36" s="59"/>
      <c r="J36" s="68">
        <v>7773</v>
      </c>
      <c r="K36" s="59"/>
      <c r="L36" s="56"/>
      <c r="M36" s="60"/>
      <c r="N36" s="60"/>
      <c r="O36" s="56">
        <v>10544</v>
      </c>
      <c r="P36" s="56">
        <v>12157</v>
      </c>
      <c r="Q36" s="68">
        <v>14121</v>
      </c>
      <c r="R36" s="69">
        <v>19795</v>
      </c>
      <c r="S36" s="56">
        <v>22811</v>
      </c>
      <c r="T36" s="60"/>
      <c r="U36" s="60"/>
      <c r="V36" s="59"/>
      <c r="W36" s="56">
        <v>25050</v>
      </c>
      <c r="X36" s="68">
        <v>28345</v>
      </c>
      <c r="Y36" s="69">
        <v>34234</v>
      </c>
      <c r="Z36" s="56">
        <v>36227</v>
      </c>
      <c r="AA36" s="86"/>
      <c r="AB36" s="86"/>
      <c r="AC36" s="56">
        <v>39123</v>
      </c>
      <c r="AD36" s="56">
        <v>42114</v>
      </c>
      <c r="AE36" s="68">
        <v>45148</v>
      </c>
      <c r="AF36" s="69">
        <v>51365</v>
      </c>
      <c r="AG36" s="32"/>
    </row>
    <row r="37" spans="1:33" x14ac:dyDescent="0.25">
      <c r="A37" s="19" t="s">
        <v>1</v>
      </c>
      <c r="B37" s="62"/>
      <c r="C37" s="52">
        <v>3262</v>
      </c>
      <c r="D37" s="52">
        <f>C37+3262</f>
        <v>6524</v>
      </c>
      <c r="E37" s="52">
        <f>D37+3262</f>
        <v>9786</v>
      </c>
      <c r="F37" s="63"/>
      <c r="G37" s="63"/>
      <c r="H37" s="52">
        <f>E37+3262</f>
        <v>13048</v>
      </c>
      <c r="I37" s="62"/>
      <c r="J37" s="70">
        <f>H37+3262</f>
        <v>16310</v>
      </c>
      <c r="K37" s="62"/>
      <c r="L37" s="71">
        <f>J37+3262</f>
        <v>19572</v>
      </c>
      <c r="M37" s="85"/>
      <c r="N37" s="85"/>
      <c r="O37" s="52">
        <f>L37+3262</f>
        <v>22834</v>
      </c>
      <c r="P37" s="52">
        <f>O37+3262</f>
        <v>26096</v>
      </c>
      <c r="Q37" s="52">
        <f t="shared" ref="Q37:S37" si="16">P37+3262</f>
        <v>29358</v>
      </c>
      <c r="R37" s="52">
        <f t="shared" si="16"/>
        <v>32620</v>
      </c>
      <c r="S37" s="52">
        <f t="shared" si="16"/>
        <v>35882</v>
      </c>
      <c r="T37" s="85"/>
      <c r="U37" s="85"/>
      <c r="V37" s="62"/>
      <c r="W37" s="52">
        <f>S37+3262</f>
        <v>39144</v>
      </c>
      <c r="X37" s="70">
        <f>W37+3262</f>
        <v>42406</v>
      </c>
      <c r="Y37" s="70">
        <f>X37+3262</f>
        <v>45668</v>
      </c>
      <c r="Z37" s="70">
        <f>Y37+3262</f>
        <v>48930</v>
      </c>
      <c r="AA37" s="85"/>
      <c r="AB37" s="85"/>
      <c r="AC37" s="52">
        <f>Z37+3262</f>
        <v>52192</v>
      </c>
      <c r="AD37" s="52">
        <f>AC37+3262</f>
        <v>55454</v>
      </c>
      <c r="AE37" s="52">
        <f t="shared" ref="AE37:AF37" si="17">AD37+3262</f>
        <v>58716</v>
      </c>
      <c r="AF37" s="52">
        <f t="shared" si="17"/>
        <v>61978</v>
      </c>
      <c r="AG37" s="32"/>
    </row>
    <row r="38" spans="1:33" x14ac:dyDescent="0.25">
      <c r="A38" s="19" t="s">
        <v>2</v>
      </c>
      <c r="B38" s="53"/>
      <c r="C38" s="4">
        <f>C36/C37</f>
        <v>0.42918454935622319</v>
      </c>
      <c r="D38" s="4">
        <f t="shared" ref="D38:AF38" si="18">D36/D37</f>
        <v>0.24969343960760271</v>
      </c>
      <c r="E38" s="4">
        <f t="shared" si="18"/>
        <v>0.39117106069895768</v>
      </c>
      <c r="F38" s="15"/>
      <c r="G38" s="15"/>
      <c r="H38" s="4">
        <f t="shared" si="18"/>
        <v>0.41638565297363583</v>
      </c>
      <c r="I38" s="53"/>
      <c r="J38" s="4">
        <f t="shared" si="18"/>
        <v>0.47657878602084608</v>
      </c>
      <c r="K38" s="53"/>
      <c r="L38" s="4">
        <f t="shared" si="18"/>
        <v>0</v>
      </c>
      <c r="M38" s="15"/>
      <c r="N38" s="15"/>
      <c r="O38" s="4">
        <f t="shared" si="18"/>
        <v>0.46176753963387929</v>
      </c>
      <c r="P38" s="4">
        <f t="shared" si="18"/>
        <v>0.46585683629675045</v>
      </c>
      <c r="Q38" s="4">
        <f t="shared" si="18"/>
        <v>0.48099325567136725</v>
      </c>
      <c r="R38" s="4">
        <f t="shared" si="18"/>
        <v>0.6068362967504598</v>
      </c>
      <c r="S38" s="4">
        <f t="shared" si="18"/>
        <v>0.63572264645226018</v>
      </c>
      <c r="T38" s="15"/>
      <c r="U38" s="15"/>
      <c r="V38" s="53"/>
      <c r="W38" s="4">
        <f t="shared" si="18"/>
        <v>0.63994481912936851</v>
      </c>
      <c r="X38" s="4">
        <f t="shared" si="18"/>
        <v>0.6684195632693487</v>
      </c>
      <c r="Y38" s="4">
        <f t="shared" si="18"/>
        <v>0.74962774809494614</v>
      </c>
      <c r="Z38" s="4">
        <f t="shared" si="18"/>
        <v>0.74038422235847123</v>
      </c>
      <c r="AA38" s="15"/>
      <c r="AB38" s="15"/>
      <c r="AC38" s="4">
        <f t="shared" si="18"/>
        <v>0.7495976394849786</v>
      </c>
      <c r="AD38" s="4">
        <f t="shared" si="18"/>
        <v>0.75944025678941107</v>
      </c>
      <c r="AE38" s="4">
        <f t="shared" si="18"/>
        <v>0.76892158866407789</v>
      </c>
      <c r="AF38" s="4">
        <f t="shared" si="18"/>
        <v>0.82876181870986476</v>
      </c>
      <c r="AG38" s="32"/>
    </row>
    <row r="39" spans="1:33" ht="15.75" thickBot="1" x14ac:dyDescent="0.3">
      <c r="A39" s="20"/>
      <c r="B39" s="54"/>
      <c r="C39" s="7"/>
      <c r="D39" s="7"/>
      <c r="E39" s="26"/>
      <c r="F39" s="88"/>
      <c r="G39" s="16"/>
      <c r="H39" s="7"/>
      <c r="I39" s="54"/>
      <c r="J39" s="72"/>
      <c r="K39" s="54"/>
      <c r="L39" s="7"/>
      <c r="M39" s="16"/>
      <c r="N39" s="16"/>
      <c r="O39" s="7"/>
      <c r="P39" s="7"/>
      <c r="Q39" s="72"/>
      <c r="R39" s="73"/>
      <c r="S39" s="7"/>
      <c r="T39" s="16"/>
      <c r="U39" s="16"/>
      <c r="V39" s="54"/>
      <c r="W39" s="7"/>
      <c r="X39" s="72"/>
      <c r="Y39" s="73"/>
      <c r="Z39" s="7"/>
      <c r="AA39" s="87"/>
      <c r="AB39" s="87"/>
      <c r="AC39" s="7"/>
      <c r="AD39" s="7"/>
      <c r="AE39" s="72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59"/>
      <c r="C43" s="56">
        <v>917</v>
      </c>
      <c r="D43" s="56">
        <v>1157</v>
      </c>
      <c r="E43" s="56">
        <v>1957</v>
      </c>
      <c r="F43" s="60"/>
      <c r="G43" s="60"/>
      <c r="H43" s="56">
        <v>1957</v>
      </c>
      <c r="I43" s="59"/>
      <c r="J43" s="68">
        <v>3306</v>
      </c>
      <c r="K43" s="59"/>
      <c r="L43" s="56"/>
      <c r="M43" s="60"/>
      <c r="N43" s="60"/>
      <c r="O43" s="56">
        <v>5000</v>
      </c>
      <c r="P43" s="56">
        <v>4982</v>
      </c>
      <c r="Q43" s="68">
        <v>5351</v>
      </c>
      <c r="R43" s="69">
        <v>5819</v>
      </c>
      <c r="S43" s="56">
        <v>6302</v>
      </c>
      <c r="T43" s="60"/>
      <c r="U43" s="60"/>
      <c r="V43" s="59"/>
      <c r="W43" s="56">
        <v>6302</v>
      </c>
      <c r="X43" s="68">
        <v>6302</v>
      </c>
      <c r="Y43" s="69">
        <v>6302</v>
      </c>
      <c r="Z43" s="56">
        <v>6302</v>
      </c>
      <c r="AA43" s="86"/>
      <c r="AB43" s="86"/>
      <c r="AC43" s="56">
        <v>9064</v>
      </c>
      <c r="AD43" s="56">
        <v>10389</v>
      </c>
      <c r="AE43" s="68">
        <v>10910</v>
      </c>
      <c r="AF43" s="69">
        <v>12162</v>
      </c>
      <c r="AG43" s="32"/>
    </row>
    <row r="44" spans="1:33" x14ac:dyDescent="0.25">
      <c r="A44" s="19" t="s">
        <v>1</v>
      </c>
      <c r="B44" s="62"/>
      <c r="C44" s="52">
        <f>731</f>
        <v>731</v>
      </c>
      <c r="D44" s="52">
        <f>C44+731</f>
        <v>1462</v>
      </c>
      <c r="E44" s="52">
        <f>D44+731</f>
        <v>2193</v>
      </c>
      <c r="F44" s="63"/>
      <c r="G44" s="63"/>
      <c r="H44" s="52">
        <f>E44+731</f>
        <v>2924</v>
      </c>
      <c r="I44" s="62"/>
      <c r="J44" s="70">
        <f>H44+731</f>
        <v>3655</v>
      </c>
      <c r="K44" s="62"/>
      <c r="L44" s="71">
        <f>J44+731</f>
        <v>4386</v>
      </c>
      <c r="M44" s="85"/>
      <c r="N44" s="85"/>
      <c r="O44" s="52">
        <f>L44+731</f>
        <v>5117</v>
      </c>
      <c r="P44" s="52">
        <f>O44+731</f>
        <v>5848</v>
      </c>
      <c r="Q44" s="52">
        <f t="shared" ref="Q44:S44" si="19">P44+731</f>
        <v>6579</v>
      </c>
      <c r="R44" s="52">
        <f t="shared" si="19"/>
        <v>7310</v>
      </c>
      <c r="S44" s="52">
        <f t="shared" si="19"/>
        <v>8041</v>
      </c>
      <c r="T44" s="85"/>
      <c r="U44" s="85"/>
      <c r="V44" s="62"/>
      <c r="W44" s="52">
        <f>S44+731</f>
        <v>8772</v>
      </c>
      <c r="X44" s="70">
        <f>W44+731</f>
        <v>9503</v>
      </c>
      <c r="Y44" s="70">
        <f t="shared" ref="Y44:Z44" si="20">X44+731</f>
        <v>10234</v>
      </c>
      <c r="Z44" s="70">
        <f t="shared" si="20"/>
        <v>10965</v>
      </c>
      <c r="AA44" s="85"/>
      <c r="AB44" s="85"/>
      <c r="AC44" s="52">
        <f>Z44+731</f>
        <v>11696</v>
      </c>
      <c r="AD44" s="52">
        <f>AC44+731</f>
        <v>12427</v>
      </c>
      <c r="AE44" s="52">
        <f t="shared" ref="AE44:AF44" si="21">AD44+731</f>
        <v>13158</v>
      </c>
      <c r="AF44" s="52">
        <f t="shared" si="21"/>
        <v>13889</v>
      </c>
      <c r="AG44" s="32"/>
    </row>
    <row r="45" spans="1:33" x14ac:dyDescent="0.25">
      <c r="A45" s="19" t="s">
        <v>2</v>
      </c>
      <c r="B45" s="53"/>
      <c r="C45" s="4">
        <f>C43/C44</f>
        <v>1.2544459644322845</v>
      </c>
      <c r="D45" s="4">
        <f t="shared" ref="D45:AF45" si="22">D43/D44</f>
        <v>0.79138166894664841</v>
      </c>
      <c r="E45" s="4">
        <f t="shared" si="22"/>
        <v>0.89238486092111258</v>
      </c>
      <c r="F45" s="15"/>
      <c r="G45" s="15"/>
      <c r="H45" s="4">
        <f t="shared" si="22"/>
        <v>0.66928864569083446</v>
      </c>
      <c r="I45" s="53"/>
      <c r="J45" s="4">
        <f t="shared" si="22"/>
        <v>0.90451436388508888</v>
      </c>
      <c r="K45" s="53"/>
      <c r="L45" s="4">
        <f t="shared" si="22"/>
        <v>0</v>
      </c>
      <c r="M45" s="15"/>
      <c r="N45" s="15"/>
      <c r="O45" s="4">
        <f t="shared" si="22"/>
        <v>0.9771350400625366</v>
      </c>
      <c r="P45" s="4">
        <f t="shared" si="22"/>
        <v>0.85191518467852256</v>
      </c>
      <c r="Q45" s="4">
        <f t="shared" si="22"/>
        <v>0.8133454932360541</v>
      </c>
      <c r="R45" s="4">
        <f t="shared" si="22"/>
        <v>0.79603283173734607</v>
      </c>
      <c r="S45" s="4">
        <f t="shared" si="22"/>
        <v>0.78373336649670444</v>
      </c>
      <c r="T45" s="15"/>
      <c r="U45" s="15"/>
      <c r="V45" s="53"/>
      <c r="W45" s="4">
        <f t="shared" si="22"/>
        <v>0.71842225262197901</v>
      </c>
      <c r="X45" s="4">
        <f t="shared" si="22"/>
        <v>0.66315900242028836</v>
      </c>
      <c r="Y45" s="4">
        <f t="shared" si="22"/>
        <v>0.61579050224741061</v>
      </c>
      <c r="Z45" s="4">
        <f t="shared" si="22"/>
        <v>0.57473780209758318</v>
      </c>
      <c r="AA45" s="15"/>
      <c r="AB45" s="15"/>
      <c r="AC45" s="4">
        <f t="shared" si="22"/>
        <v>0.77496580027359785</v>
      </c>
      <c r="AD45" s="4">
        <f t="shared" si="22"/>
        <v>0.83600225315844534</v>
      </c>
      <c r="AE45" s="4">
        <f t="shared" si="22"/>
        <v>0.82915336677306584</v>
      </c>
      <c r="AF45" s="4">
        <f t="shared" si="22"/>
        <v>0.87565699474404202</v>
      </c>
      <c r="AG45" s="32"/>
    </row>
    <row r="46" spans="1:33" ht="15.75" thickBot="1" x14ac:dyDescent="0.3">
      <c r="A46" s="20"/>
      <c r="B46" s="54"/>
      <c r="C46" s="7"/>
      <c r="D46" s="7"/>
      <c r="E46" s="26"/>
      <c r="F46" s="88"/>
      <c r="G46" s="16"/>
      <c r="H46" s="7"/>
      <c r="I46" s="54"/>
      <c r="J46" s="72"/>
      <c r="K46" s="54"/>
      <c r="L46" s="7"/>
      <c r="M46" s="16"/>
      <c r="N46" s="16"/>
      <c r="O46" s="7"/>
      <c r="P46" s="7"/>
      <c r="Q46" s="72"/>
      <c r="R46" s="73"/>
      <c r="S46" s="7"/>
      <c r="T46" s="16"/>
      <c r="U46" s="16"/>
      <c r="V46" s="54"/>
      <c r="W46" s="7"/>
      <c r="X46" s="72"/>
      <c r="Y46" s="73"/>
      <c r="Z46" s="7"/>
      <c r="AA46" s="87"/>
      <c r="AB46" s="87"/>
      <c r="AC46" s="7"/>
      <c r="AD46" s="7"/>
      <c r="AE46" s="72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59"/>
      <c r="C49" s="56">
        <v>117</v>
      </c>
      <c r="D49" s="56">
        <v>469</v>
      </c>
      <c r="E49" s="56">
        <v>1224</v>
      </c>
      <c r="F49" s="60"/>
      <c r="G49" s="60"/>
      <c r="H49" s="56">
        <v>1697</v>
      </c>
      <c r="I49" s="59"/>
      <c r="J49" s="68">
        <v>2661</v>
      </c>
      <c r="K49" s="59"/>
      <c r="L49" s="56"/>
      <c r="M49" s="60"/>
      <c r="N49" s="60"/>
      <c r="O49" s="56">
        <v>4495</v>
      </c>
      <c r="P49" s="56">
        <v>4495</v>
      </c>
      <c r="Q49" s="68">
        <v>5789</v>
      </c>
      <c r="R49" s="69">
        <v>6306</v>
      </c>
      <c r="S49" s="56">
        <v>6703</v>
      </c>
      <c r="T49" s="60"/>
      <c r="U49" s="60"/>
      <c r="V49" s="59"/>
      <c r="W49" s="56">
        <v>6945</v>
      </c>
      <c r="X49" s="68">
        <v>7309</v>
      </c>
      <c r="Y49" s="69">
        <v>7306</v>
      </c>
      <c r="Z49" s="56">
        <v>7932</v>
      </c>
      <c r="AA49" s="86"/>
      <c r="AB49" s="86"/>
      <c r="AC49" s="56">
        <v>8309</v>
      </c>
      <c r="AD49" s="56">
        <v>8692</v>
      </c>
      <c r="AE49" s="68">
        <v>9321</v>
      </c>
      <c r="AF49" s="69">
        <v>9945</v>
      </c>
      <c r="AG49" s="32"/>
    </row>
    <row r="50" spans="1:33" x14ac:dyDescent="0.25">
      <c r="A50" s="19" t="s">
        <v>1</v>
      </c>
      <c r="B50" s="62"/>
      <c r="C50" s="52">
        <v>515</v>
      </c>
      <c r="D50" s="52">
        <f>C50+515</f>
        <v>1030</v>
      </c>
      <c r="E50" s="52">
        <f>D50+515</f>
        <v>1545</v>
      </c>
      <c r="F50" s="63"/>
      <c r="G50" s="63"/>
      <c r="H50" s="52">
        <f>E50+515</f>
        <v>2060</v>
      </c>
      <c r="I50" s="62"/>
      <c r="J50" s="70">
        <f>H50+515</f>
        <v>2575</v>
      </c>
      <c r="K50" s="62"/>
      <c r="L50" s="71">
        <f>J50+515</f>
        <v>3090</v>
      </c>
      <c r="M50" s="85"/>
      <c r="N50" s="85"/>
      <c r="O50" s="52">
        <f>L50+515</f>
        <v>3605</v>
      </c>
      <c r="P50" s="52">
        <f>O50+515</f>
        <v>4120</v>
      </c>
      <c r="Q50" s="52">
        <f t="shared" ref="Q50:S50" si="23">P50+515</f>
        <v>4635</v>
      </c>
      <c r="R50" s="52">
        <f t="shared" si="23"/>
        <v>5150</v>
      </c>
      <c r="S50" s="52">
        <f t="shared" si="23"/>
        <v>5665</v>
      </c>
      <c r="T50" s="85"/>
      <c r="U50" s="85"/>
      <c r="V50" s="62"/>
      <c r="W50" s="52">
        <f>S50+515</f>
        <v>6180</v>
      </c>
      <c r="X50" s="70">
        <f>W50+515</f>
        <v>6695</v>
      </c>
      <c r="Y50" s="70">
        <f t="shared" ref="Y50:Z50" si="24">X50+515</f>
        <v>7210</v>
      </c>
      <c r="Z50" s="70">
        <f t="shared" si="24"/>
        <v>7725</v>
      </c>
      <c r="AA50" s="85"/>
      <c r="AB50" s="85"/>
      <c r="AC50" s="52">
        <f>Z50+515</f>
        <v>8240</v>
      </c>
      <c r="AD50" s="52">
        <f>AC50+515</f>
        <v>8755</v>
      </c>
      <c r="AE50" s="52">
        <f t="shared" ref="AE50:AF50" si="25">AD50+515</f>
        <v>9270</v>
      </c>
      <c r="AF50" s="52">
        <f t="shared" si="25"/>
        <v>9785</v>
      </c>
      <c r="AG50" s="32"/>
    </row>
    <row r="51" spans="1:33" x14ac:dyDescent="0.25">
      <c r="A51" s="19" t="s">
        <v>2</v>
      </c>
      <c r="B51" s="53"/>
      <c r="C51" s="4">
        <f>C49/C50</f>
        <v>0.22718446601941747</v>
      </c>
      <c r="D51" s="4">
        <f t="shared" ref="D51:AF51" si="26">D49/D50</f>
        <v>0.45533980582524269</v>
      </c>
      <c r="E51" s="4">
        <f t="shared" si="26"/>
        <v>0.79223300970873789</v>
      </c>
      <c r="F51" s="15"/>
      <c r="G51" s="15"/>
      <c r="H51" s="4">
        <f t="shared" si="26"/>
        <v>0.8237864077669903</v>
      </c>
      <c r="I51" s="53"/>
      <c r="J51" s="4">
        <f t="shared" si="26"/>
        <v>1.0333980582524271</v>
      </c>
      <c r="K51" s="53"/>
      <c r="L51" s="4">
        <f t="shared" si="26"/>
        <v>0</v>
      </c>
      <c r="M51" s="15"/>
      <c r="N51" s="15"/>
      <c r="O51" s="4">
        <f t="shared" si="26"/>
        <v>1.2468793342579749</v>
      </c>
      <c r="P51" s="4">
        <f t="shared" si="26"/>
        <v>1.0910194174757282</v>
      </c>
      <c r="Q51" s="4">
        <f t="shared" si="26"/>
        <v>1.2489751887810141</v>
      </c>
      <c r="R51" s="4">
        <f t="shared" si="26"/>
        <v>1.2244660194174757</v>
      </c>
      <c r="S51" s="4">
        <f t="shared" si="26"/>
        <v>1.1832303618711386</v>
      </c>
      <c r="T51" s="15"/>
      <c r="U51" s="15"/>
      <c r="V51" s="53"/>
      <c r="W51" s="4">
        <f t="shared" si="26"/>
        <v>1.1237864077669903</v>
      </c>
      <c r="X51" s="4">
        <f t="shared" si="26"/>
        <v>1.0917102315160567</v>
      </c>
      <c r="Y51" s="4">
        <f t="shared" si="26"/>
        <v>1.0133148404993064</v>
      </c>
      <c r="Z51" s="4">
        <f t="shared" si="26"/>
        <v>1.0267961165048545</v>
      </c>
      <c r="AA51" s="15"/>
      <c r="AB51" s="15"/>
      <c r="AC51" s="4">
        <f t="shared" si="26"/>
        <v>1.0083737864077671</v>
      </c>
      <c r="AD51" s="4">
        <f t="shared" si="26"/>
        <v>0.99280411193603657</v>
      </c>
      <c r="AE51" s="4">
        <f t="shared" si="26"/>
        <v>1.0055016181229774</v>
      </c>
      <c r="AF51" s="4">
        <f t="shared" si="26"/>
        <v>1.0163515585079204</v>
      </c>
      <c r="AG51" s="32"/>
    </row>
    <row r="52" spans="1:33" ht="15.75" thickBot="1" x14ac:dyDescent="0.3">
      <c r="A52" s="20"/>
      <c r="B52" s="54"/>
      <c r="C52" s="7"/>
      <c r="D52" s="7"/>
      <c r="E52" s="26"/>
      <c r="F52" s="88"/>
      <c r="G52" s="16"/>
      <c r="H52" s="7"/>
      <c r="I52" s="54"/>
      <c r="J52" s="72"/>
      <c r="K52" s="54"/>
      <c r="L52" s="7"/>
      <c r="M52" s="16"/>
      <c r="N52" s="16"/>
      <c r="O52" s="7"/>
      <c r="P52" s="7"/>
      <c r="Q52" s="72"/>
      <c r="R52" s="73"/>
      <c r="S52" s="7"/>
      <c r="T52" s="16"/>
      <c r="U52" s="16"/>
      <c r="V52" s="54"/>
      <c r="W52" s="7"/>
      <c r="X52" s="72"/>
      <c r="Y52" s="73"/>
      <c r="Z52" s="7"/>
      <c r="AA52" s="87"/>
      <c r="AB52" s="87"/>
      <c r="AC52" s="7"/>
      <c r="AD52" s="7"/>
      <c r="AE52" s="72"/>
      <c r="AF52" s="73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6">
        <v>31</v>
      </c>
      <c r="AG55" s="32"/>
    </row>
    <row r="56" spans="1:33" x14ac:dyDescent="0.25">
      <c r="A56" s="19" t="s">
        <v>8</v>
      </c>
      <c r="B56" s="59"/>
      <c r="C56" s="56">
        <v>2193</v>
      </c>
      <c r="D56" s="56">
        <v>4717</v>
      </c>
      <c r="E56" s="56"/>
      <c r="F56" s="60"/>
      <c r="G56" s="60"/>
      <c r="H56" s="56">
        <v>7167</v>
      </c>
      <c r="I56" s="59"/>
      <c r="J56" s="68">
        <v>8231</v>
      </c>
      <c r="K56" s="59"/>
      <c r="L56" s="56"/>
      <c r="M56" s="60"/>
      <c r="N56" s="60"/>
      <c r="O56" s="56">
        <v>14622</v>
      </c>
      <c r="P56" s="56">
        <v>15041</v>
      </c>
      <c r="Q56" s="68">
        <v>16312</v>
      </c>
      <c r="R56" s="69">
        <v>20402</v>
      </c>
      <c r="S56" s="56">
        <v>23568</v>
      </c>
      <c r="T56" s="60"/>
      <c r="U56" s="60"/>
      <c r="V56" s="59"/>
      <c r="W56" s="56">
        <v>24443</v>
      </c>
      <c r="X56" s="68">
        <v>25054</v>
      </c>
      <c r="Y56" s="69">
        <v>26265</v>
      </c>
      <c r="Z56" s="56">
        <v>27709</v>
      </c>
      <c r="AA56" s="86"/>
      <c r="AB56" s="86"/>
      <c r="AC56" s="56">
        <v>31055</v>
      </c>
      <c r="AD56" s="56">
        <v>32184</v>
      </c>
      <c r="AE56" s="68">
        <v>34459</v>
      </c>
      <c r="AF56" s="69">
        <v>37690</v>
      </c>
      <c r="AG56" s="32"/>
    </row>
    <row r="57" spans="1:33" x14ac:dyDescent="0.25">
      <c r="A57" s="19" t="s">
        <v>1</v>
      </c>
      <c r="B57" s="62"/>
      <c r="C57" s="52">
        <v>2004</v>
      </c>
      <c r="D57" s="52">
        <f>C57+2004</f>
        <v>4008</v>
      </c>
      <c r="E57" s="52">
        <f>D57+2004</f>
        <v>6012</v>
      </c>
      <c r="F57" s="63"/>
      <c r="G57" s="63"/>
      <c r="H57" s="52">
        <f>E57+2004</f>
        <v>8016</v>
      </c>
      <c r="I57" s="62"/>
      <c r="J57" s="70">
        <f>H57+2004</f>
        <v>10020</v>
      </c>
      <c r="K57" s="62"/>
      <c r="L57" s="71">
        <f>J57+2004</f>
        <v>12024</v>
      </c>
      <c r="M57" s="85"/>
      <c r="N57" s="85"/>
      <c r="O57" s="52">
        <f>L57+2004</f>
        <v>14028</v>
      </c>
      <c r="P57" s="52">
        <f>O57+2004</f>
        <v>16032</v>
      </c>
      <c r="Q57" s="52">
        <f t="shared" ref="Q57:S57" si="27">P57+2004</f>
        <v>18036</v>
      </c>
      <c r="R57" s="52">
        <f t="shared" si="27"/>
        <v>20040</v>
      </c>
      <c r="S57" s="52">
        <f t="shared" si="27"/>
        <v>22044</v>
      </c>
      <c r="T57" s="85"/>
      <c r="U57" s="85"/>
      <c r="V57" s="62"/>
      <c r="W57" s="52">
        <f>S57+2004</f>
        <v>24048</v>
      </c>
      <c r="X57" s="70">
        <f>W57+2004</f>
        <v>26052</v>
      </c>
      <c r="Y57" s="70">
        <f t="shared" ref="Y57:Z57" si="28">X57+2004</f>
        <v>28056</v>
      </c>
      <c r="Z57" s="70">
        <f t="shared" si="28"/>
        <v>30060</v>
      </c>
      <c r="AA57" s="85"/>
      <c r="AB57" s="85"/>
      <c r="AC57" s="52">
        <f>Z57+2004</f>
        <v>32064</v>
      </c>
      <c r="AD57" s="52">
        <f>AC57+2004</f>
        <v>34068</v>
      </c>
      <c r="AE57" s="52">
        <f t="shared" ref="AE57:AF57" si="29">AD57+2004</f>
        <v>36072</v>
      </c>
      <c r="AF57" s="52">
        <f t="shared" si="29"/>
        <v>38076</v>
      </c>
      <c r="AG57" s="32"/>
    </row>
    <row r="58" spans="1:33" x14ac:dyDescent="0.25">
      <c r="A58" s="19" t="s">
        <v>2</v>
      </c>
      <c r="B58" s="53"/>
      <c r="C58" s="4">
        <f>C56/C57</f>
        <v>1.0943113772455091</v>
      </c>
      <c r="D58" s="4">
        <f t="shared" ref="D58:AF58" si="30">D56/D57</f>
        <v>1.1768962075848304</v>
      </c>
      <c r="E58" s="4">
        <f t="shared" si="30"/>
        <v>0</v>
      </c>
      <c r="F58" s="15"/>
      <c r="G58" s="15"/>
      <c r="H58" s="4">
        <f t="shared" si="30"/>
        <v>0.89408682634730541</v>
      </c>
      <c r="I58" s="53"/>
      <c r="J58" s="4">
        <f t="shared" si="30"/>
        <v>0.82145708582834331</v>
      </c>
      <c r="K58" s="53"/>
      <c r="L58" s="4">
        <f t="shared" si="30"/>
        <v>0</v>
      </c>
      <c r="M58" s="15"/>
      <c r="N58" s="15"/>
      <c r="O58" s="4">
        <f t="shared" si="30"/>
        <v>1.0423438836612489</v>
      </c>
      <c r="P58" s="4">
        <f t="shared" si="30"/>
        <v>0.93818612774451093</v>
      </c>
      <c r="Q58" s="4">
        <f t="shared" si="30"/>
        <v>0.90441339543135946</v>
      </c>
      <c r="R58" s="4">
        <f t="shared" si="30"/>
        <v>1.0180638722554891</v>
      </c>
      <c r="S58" s="4">
        <f t="shared" si="30"/>
        <v>1.0691344583560152</v>
      </c>
      <c r="T58" s="15"/>
      <c r="U58" s="15"/>
      <c r="V58" s="53"/>
      <c r="W58" s="4">
        <f t="shared" si="30"/>
        <v>1.0164254823685961</v>
      </c>
      <c r="X58" s="4">
        <f t="shared" si="30"/>
        <v>0.96169200061415627</v>
      </c>
      <c r="Y58" s="4">
        <f t="shared" si="30"/>
        <v>0.93616338751069295</v>
      </c>
      <c r="Z58" s="4">
        <f t="shared" si="30"/>
        <v>0.92178975382568196</v>
      </c>
      <c r="AA58" s="15"/>
      <c r="AB58" s="15"/>
      <c r="AC58" s="4">
        <f t="shared" si="30"/>
        <v>0.96853168662674649</v>
      </c>
      <c r="AD58" s="4">
        <f t="shared" si="30"/>
        <v>0.94469883761887985</v>
      </c>
      <c r="AE58" s="4">
        <f t="shared" si="30"/>
        <v>0.95528387669106229</v>
      </c>
      <c r="AF58" s="4">
        <f t="shared" si="30"/>
        <v>0.98986238050215358</v>
      </c>
      <c r="AG58" s="32"/>
    </row>
    <row r="59" spans="1:33" ht="15.75" thickBot="1" x14ac:dyDescent="0.3">
      <c r="A59" s="20"/>
      <c r="B59" s="54"/>
      <c r="C59" s="7"/>
      <c r="D59" s="7"/>
      <c r="E59" s="26"/>
      <c r="F59" s="88"/>
      <c r="G59" s="16"/>
      <c r="H59" s="7"/>
      <c r="I59" s="54"/>
      <c r="J59" s="72"/>
      <c r="K59" s="54"/>
      <c r="L59" s="7"/>
      <c r="M59" s="16"/>
      <c r="N59" s="16"/>
      <c r="O59" s="7"/>
      <c r="P59" s="7"/>
      <c r="Q59" s="72"/>
      <c r="R59" s="73"/>
      <c r="S59" s="7"/>
      <c r="T59" s="16"/>
      <c r="U59" s="16"/>
      <c r="V59" s="54"/>
      <c r="W59" s="7"/>
      <c r="X59" s="72"/>
      <c r="Y59" s="73"/>
      <c r="Z59" s="7"/>
      <c r="AA59" s="87"/>
      <c r="AB59" s="87"/>
      <c r="AC59" s="7"/>
      <c r="AD59" s="7"/>
      <c r="AE59" s="72"/>
      <c r="AF59" s="73"/>
      <c r="AG59" s="32"/>
    </row>
    <row r="60" spans="1:33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  <c r="AG60" s="32"/>
    </row>
    <row r="61" spans="1:33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  <c r="AF62" s="6">
        <v>31</v>
      </c>
    </row>
    <row r="63" spans="1:33" x14ac:dyDescent="0.25">
      <c r="A63" s="19" t="s">
        <v>8</v>
      </c>
      <c r="B63" s="59"/>
      <c r="C63" s="56">
        <v>321</v>
      </c>
      <c r="D63" s="56">
        <v>977</v>
      </c>
      <c r="E63" s="56">
        <v>1848</v>
      </c>
      <c r="F63" s="60"/>
      <c r="G63" s="60"/>
      <c r="H63" s="56">
        <v>2643</v>
      </c>
      <c r="I63" s="59"/>
      <c r="J63" s="68">
        <v>2740</v>
      </c>
      <c r="K63" s="59"/>
      <c r="L63" s="56"/>
      <c r="M63" s="60"/>
      <c r="N63" s="60"/>
      <c r="O63" s="56">
        <v>3672</v>
      </c>
      <c r="P63" s="56">
        <v>5018</v>
      </c>
      <c r="Q63" s="68">
        <v>5949</v>
      </c>
      <c r="R63" s="69">
        <v>6360</v>
      </c>
      <c r="S63" s="56">
        <v>9857</v>
      </c>
      <c r="T63" s="60"/>
      <c r="U63" s="60"/>
      <c r="V63" s="59"/>
      <c r="W63" s="56">
        <v>10425</v>
      </c>
      <c r="X63" s="68">
        <v>11335</v>
      </c>
      <c r="Y63" s="69">
        <v>13192</v>
      </c>
      <c r="Z63" s="56">
        <v>14343</v>
      </c>
      <c r="AA63" s="86"/>
      <c r="AB63" s="86"/>
      <c r="AC63" s="56">
        <v>16111</v>
      </c>
      <c r="AD63" s="56">
        <v>17369</v>
      </c>
      <c r="AE63" s="68">
        <v>18682</v>
      </c>
      <c r="AF63" s="69">
        <v>20750</v>
      </c>
    </row>
    <row r="64" spans="1:33" x14ac:dyDescent="0.25">
      <c r="A64" s="19" t="s">
        <v>1</v>
      </c>
      <c r="B64" s="62"/>
      <c r="C64" s="52">
        <v>913</v>
      </c>
      <c r="D64" s="52">
        <f>C64+913</f>
        <v>1826</v>
      </c>
      <c r="E64" s="52">
        <f>D64+913</f>
        <v>2739</v>
      </c>
      <c r="F64" s="63"/>
      <c r="G64" s="63"/>
      <c r="H64" s="52">
        <f>E64+913</f>
        <v>3652</v>
      </c>
      <c r="I64" s="62"/>
      <c r="J64" s="70">
        <f>H64+913</f>
        <v>4565</v>
      </c>
      <c r="K64" s="62"/>
      <c r="L64" s="71">
        <f>J64+913</f>
        <v>5478</v>
      </c>
      <c r="M64" s="85"/>
      <c r="N64" s="85"/>
      <c r="O64" s="52">
        <f>L64+913</f>
        <v>6391</v>
      </c>
      <c r="P64" s="52">
        <f>O64+913</f>
        <v>7304</v>
      </c>
      <c r="Q64" s="52">
        <f t="shared" ref="Q64:S64" si="31">P64+913</f>
        <v>8217</v>
      </c>
      <c r="R64" s="52">
        <f t="shared" si="31"/>
        <v>9130</v>
      </c>
      <c r="S64" s="52">
        <f t="shared" si="31"/>
        <v>10043</v>
      </c>
      <c r="T64" s="85"/>
      <c r="U64" s="85"/>
      <c r="V64" s="62"/>
      <c r="W64" s="52">
        <f>S64+913</f>
        <v>10956</v>
      </c>
      <c r="X64" s="70">
        <f>W64+913</f>
        <v>11869</v>
      </c>
      <c r="Y64" s="70">
        <f t="shared" ref="Y64:Z64" si="32">X64+913</f>
        <v>12782</v>
      </c>
      <c r="Z64" s="70">
        <f t="shared" si="32"/>
        <v>13695</v>
      </c>
      <c r="AA64" s="85"/>
      <c r="AB64" s="85"/>
      <c r="AC64" s="52">
        <f>Z64+913</f>
        <v>14608</v>
      </c>
      <c r="AD64" s="52">
        <f>AC64+913</f>
        <v>15521</v>
      </c>
      <c r="AE64" s="52">
        <f t="shared" ref="AE64:AF64" si="33">AD64+913</f>
        <v>16434</v>
      </c>
      <c r="AF64" s="52">
        <f t="shared" si="33"/>
        <v>17347</v>
      </c>
    </row>
    <row r="65" spans="1:32" x14ac:dyDescent="0.25">
      <c r="A65" s="19" t="s">
        <v>2</v>
      </c>
      <c r="B65" s="53"/>
      <c r="C65" s="4">
        <f>C63/C64</f>
        <v>0.35158817086527933</v>
      </c>
      <c r="D65" s="4">
        <f t="shared" ref="D65:AF65" si="34">D63/D64</f>
        <v>0.53504928806133623</v>
      </c>
      <c r="E65" s="4">
        <f t="shared" si="34"/>
        <v>0.67469879518072284</v>
      </c>
      <c r="F65" s="15"/>
      <c r="G65" s="15"/>
      <c r="H65" s="4">
        <f t="shared" si="34"/>
        <v>0.72371303395399778</v>
      </c>
      <c r="I65" s="53"/>
      <c r="J65" s="4">
        <f t="shared" si="34"/>
        <v>0.60021905805038334</v>
      </c>
      <c r="K65" s="53"/>
      <c r="L65" s="4">
        <f t="shared" si="34"/>
        <v>0</v>
      </c>
      <c r="M65" s="15"/>
      <c r="N65" s="15"/>
      <c r="O65" s="4">
        <f t="shared" si="34"/>
        <v>0.5745579721483336</v>
      </c>
      <c r="P65" s="4">
        <f t="shared" si="34"/>
        <v>0.68702081051478647</v>
      </c>
      <c r="Q65" s="4">
        <f t="shared" si="34"/>
        <v>0.72398685651697703</v>
      </c>
      <c r="R65" s="4">
        <f t="shared" si="34"/>
        <v>0.69660460021905801</v>
      </c>
      <c r="S65" s="4">
        <f t="shared" si="34"/>
        <v>0.98147963755849843</v>
      </c>
      <c r="T65" s="15"/>
      <c r="U65" s="15"/>
      <c r="V65" s="53"/>
      <c r="W65" s="4">
        <f t="shared" si="34"/>
        <v>0.95153340635268346</v>
      </c>
      <c r="X65" s="4">
        <f t="shared" si="34"/>
        <v>0.95500884657511165</v>
      </c>
      <c r="Y65" s="4">
        <f t="shared" si="34"/>
        <v>1.0320763573775622</v>
      </c>
      <c r="Z65" s="4">
        <f t="shared" si="34"/>
        <v>1.0473165388828038</v>
      </c>
      <c r="AA65" s="15"/>
      <c r="AB65" s="15"/>
      <c r="AC65" s="4">
        <f t="shared" si="34"/>
        <v>1.1028888280394304</v>
      </c>
      <c r="AD65" s="4">
        <f t="shared" si="34"/>
        <v>1.1190644932671865</v>
      </c>
      <c r="AE65" s="4">
        <f t="shared" si="34"/>
        <v>1.136789582572715</v>
      </c>
      <c r="AF65" s="4">
        <f t="shared" si="34"/>
        <v>1.1961722488038278</v>
      </c>
    </row>
    <row r="66" spans="1:32" ht="15.75" thickBot="1" x14ac:dyDescent="0.3">
      <c r="A66" s="20"/>
      <c r="B66" s="54"/>
      <c r="C66" s="7"/>
      <c r="D66" s="7"/>
      <c r="E66" s="26"/>
      <c r="F66" s="88"/>
      <c r="G66" s="16"/>
      <c r="H66" s="7"/>
      <c r="I66" s="54"/>
      <c r="J66" s="72"/>
      <c r="K66" s="54"/>
      <c r="L66" s="7"/>
      <c r="M66" s="16"/>
      <c r="N66" s="16"/>
      <c r="O66" s="7"/>
      <c r="P66" s="7"/>
      <c r="Q66" s="72"/>
      <c r="R66" s="73"/>
      <c r="S66" s="7"/>
      <c r="T66" s="16"/>
      <c r="U66" s="16"/>
      <c r="V66" s="54"/>
      <c r="W66" s="7"/>
      <c r="X66" s="72"/>
      <c r="Y66" s="73"/>
      <c r="Z66" s="7"/>
      <c r="AA66" s="87"/>
      <c r="AB66" s="87"/>
      <c r="AC66" s="7"/>
      <c r="AD66" s="7"/>
      <c r="AE66" s="72"/>
      <c r="AF66" s="73"/>
    </row>
    <row r="68" spans="1:32" ht="15.75" thickBot="1" x14ac:dyDescent="0.3"/>
    <row r="69" spans="1:32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  <c r="AF69" s="6">
        <v>31</v>
      </c>
    </row>
    <row r="70" spans="1:32" x14ac:dyDescent="0.25">
      <c r="A70" s="19" t="s">
        <v>8</v>
      </c>
      <c r="B70" s="59"/>
      <c r="C70" s="56">
        <v>981</v>
      </c>
      <c r="D70" s="56">
        <v>2379</v>
      </c>
      <c r="E70" s="56">
        <v>4547</v>
      </c>
      <c r="F70" s="60"/>
      <c r="G70" s="60"/>
      <c r="H70" s="56">
        <v>4573</v>
      </c>
      <c r="I70" s="59"/>
      <c r="J70" s="68">
        <v>5744</v>
      </c>
      <c r="K70" s="59"/>
      <c r="L70" s="56"/>
      <c r="M70" s="60"/>
      <c r="N70" s="60"/>
      <c r="O70" s="56">
        <v>6646</v>
      </c>
      <c r="P70" s="56">
        <v>7808</v>
      </c>
      <c r="Q70" s="68">
        <v>8261</v>
      </c>
      <c r="R70" s="69">
        <v>8853</v>
      </c>
      <c r="S70" s="56">
        <v>9386</v>
      </c>
      <c r="T70" s="60"/>
      <c r="U70" s="60"/>
      <c r="V70" s="59"/>
      <c r="W70" s="56">
        <v>9343</v>
      </c>
      <c r="X70" s="68">
        <v>10020</v>
      </c>
      <c r="Y70" s="69">
        <v>11572</v>
      </c>
      <c r="Z70" s="56">
        <v>11964</v>
      </c>
      <c r="AA70" s="86"/>
      <c r="AB70" s="86"/>
      <c r="AC70" s="56">
        <v>12460</v>
      </c>
      <c r="AD70" s="56">
        <v>12667</v>
      </c>
      <c r="AE70" s="68">
        <v>13460</v>
      </c>
      <c r="AF70" s="69">
        <v>16578</v>
      </c>
    </row>
    <row r="71" spans="1:32" x14ac:dyDescent="0.25">
      <c r="A71" s="19" t="s">
        <v>1</v>
      </c>
      <c r="B71" s="62"/>
      <c r="C71" s="52">
        <v>861</v>
      </c>
      <c r="D71" s="52">
        <f>C71+861</f>
        <v>1722</v>
      </c>
      <c r="E71" s="52">
        <f>D71+861</f>
        <v>2583</v>
      </c>
      <c r="F71" s="63"/>
      <c r="G71" s="63"/>
      <c r="H71" s="52">
        <f>E71+861</f>
        <v>3444</v>
      </c>
      <c r="I71" s="62"/>
      <c r="J71" s="70">
        <f>H71+861</f>
        <v>4305</v>
      </c>
      <c r="K71" s="62"/>
      <c r="L71" s="71">
        <f>J71+861</f>
        <v>5166</v>
      </c>
      <c r="M71" s="85"/>
      <c r="N71" s="85"/>
      <c r="O71" s="52">
        <f>L71+861</f>
        <v>6027</v>
      </c>
      <c r="P71" s="52">
        <f>O71+861</f>
        <v>6888</v>
      </c>
      <c r="Q71" s="52">
        <f t="shared" ref="Q71:S71" si="35">P71+861</f>
        <v>7749</v>
      </c>
      <c r="R71" s="52">
        <f t="shared" si="35"/>
        <v>8610</v>
      </c>
      <c r="S71" s="52">
        <f t="shared" si="35"/>
        <v>9471</v>
      </c>
      <c r="T71" s="85"/>
      <c r="U71" s="85"/>
      <c r="V71" s="62"/>
      <c r="W71" s="52">
        <f>S71+861</f>
        <v>10332</v>
      </c>
      <c r="X71" s="70">
        <f>W71+861</f>
        <v>11193</v>
      </c>
      <c r="Y71" s="70">
        <f t="shared" ref="Y71:Z71" si="36">X71+861</f>
        <v>12054</v>
      </c>
      <c r="Z71" s="70">
        <f t="shared" si="36"/>
        <v>12915</v>
      </c>
      <c r="AA71" s="85"/>
      <c r="AB71" s="85"/>
      <c r="AC71" s="52">
        <f>Z71+861</f>
        <v>13776</v>
      </c>
      <c r="AD71" s="52">
        <f>AC71+861</f>
        <v>14637</v>
      </c>
      <c r="AE71" s="52">
        <f t="shared" ref="AE71:AF71" si="37">AD71+861</f>
        <v>15498</v>
      </c>
      <c r="AF71" s="52">
        <f t="shared" si="37"/>
        <v>16359</v>
      </c>
    </row>
    <row r="72" spans="1:32" x14ac:dyDescent="0.25">
      <c r="A72" s="19" t="s">
        <v>2</v>
      </c>
      <c r="B72" s="53"/>
      <c r="C72" s="4">
        <f>C70/C71</f>
        <v>1.1393728222996515</v>
      </c>
      <c r="D72" s="4">
        <f t="shared" ref="D72:AF72" si="38">D70/D71</f>
        <v>1.3815331010452963</v>
      </c>
      <c r="E72" s="4">
        <f t="shared" si="38"/>
        <v>1.7603561749903214</v>
      </c>
      <c r="F72" s="15"/>
      <c r="G72" s="15"/>
      <c r="H72" s="4">
        <f t="shared" si="38"/>
        <v>1.3278164924506388</v>
      </c>
      <c r="I72" s="53"/>
      <c r="J72" s="4">
        <f t="shared" si="38"/>
        <v>1.3342624854819978</v>
      </c>
      <c r="K72" s="53"/>
      <c r="L72" s="4">
        <f t="shared" si="38"/>
        <v>0</v>
      </c>
      <c r="M72" s="15"/>
      <c r="N72" s="15"/>
      <c r="O72" s="4">
        <f t="shared" si="38"/>
        <v>1.1027044964327195</v>
      </c>
      <c r="P72" s="4">
        <f t="shared" si="38"/>
        <v>1.1335656213704994</v>
      </c>
      <c r="Q72" s="4">
        <f t="shared" si="38"/>
        <v>1.0660730416827977</v>
      </c>
      <c r="R72" s="4">
        <f t="shared" si="38"/>
        <v>1.0282229965156795</v>
      </c>
      <c r="S72" s="4">
        <f t="shared" si="38"/>
        <v>0.99102523492767391</v>
      </c>
      <c r="T72" s="15"/>
      <c r="U72" s="15"/>
      <c r="V72" s="53"/>
      <c r="W72" s="4">
        <f t="shared" si="38"/>
        <v>0.90427797135114207</v>
      </c>
      <c r="X72" s="4">
        <f t="shared" si="38"/>
        <v>0.89520235861699271</v>
      </c>
      <c r="Y72" s="4">
        <f t="shared" si="38"/>
        <v>0.96001327360212374</v>
      </c>
      <c r="Z72" s="4">
        <f t="shared" si="38"/>
        <v>0.92636469221835072</v>
      </c>
      <c r="AA72" s="15"/>
      <c r="AB72" s="15"/>
      <c r="AC72" s="4">
        <f t="shared" si="38"/>
        <v>0.90447154471544711</v>
      </c>
      <c r="AD72" s="4">
        <f t="shared" si="38"/>
        <v>0.86540957846553257</v>
      </c>
      <c r="AE72" s="4">
        <f t="shared" si="38"/>
        <v>0.86849916118208803</v>
      </c>
      <c r="AF72" s="4">
        <f t="shared" si="38"/>
        <v>1.0133871263524665</v>
      </c>
    </row>
    <row r="73" spans="1:32" ht="15.75" thickBot="1" x14ac:dyDescent="0.3">
      <c r="A73" s="20"/>
      <c r="B73" s="54"/>
      <c r="C73" s="7"/>
      <c r="D73" s="7"/>
      <c r="E73" s="26"/>
      <c r="F73" s="88"/>
      <c r="G73" s="16"/>
      <c r="H73" s="7"/>
      <c r="I73" s="54"/>
      <c r="J73" s="72"/>
      <c r="K73" s="54"/>
      <c r="L73" s="7"/>
      <c r="M73" s="16"/>
      <c r="N73" s="16"/>
      <c r="O73" s="7"/>
      <c r="P73" s="7"/>
      <c r="Q73" s="72"/>
      <c r="R73" s="73"/>
      <c r="S73" s="7"/>
      <c r="T73" s="16"/>
      <c r="U73" s="16"/>
      <c r="V73" s="54"/>
      <c r="W73" s="7"/>
      <c r="X73" s="72"/>
      <c r="Y73" s="73"/>
      <c r="Z73" s="7"/>
      <c r="AA73" s="87"/>
      <c r="AB73" s="87"/>
      <c r="AC73" s="7"/>
      <c r="AD73" s="7"/>
      <c r="AE73" s="72"/>
      <c r="AF73" s="73"/>
    </row>
  </sheetData>
  <mergeCells count="1">
    <mergeCell ref="C1:W1"/>
  </mergeCells>
  <pageMargins left="0.7" right="0.7" top="0.75" bottom="0.75" header="0.3" footer="0.3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73"/>
  <sheetViews>
    <sheetView topLeftCell="E12" zoomScale="70" zoomScaleNormal="70" workbookViewId="0">
      <selection activeCell="AG40" sqref="AG40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29" width="8.7109375" customWidth="1"/>
    <col min="30" max="30" width="11.5703125" bestFit="1" customWidth="1"/>
    <col min="31" max="31" width="10.140625" bestFit="1" customWidth="1"/>
  </cols>
  <sheetData>
    <row r="1" spans="1:36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</row>
    <row r="3" spans="1:36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>
        <f>21</f>
        <v>21</v>
      </c>
    </row>
    <row r="4" spans="1:36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</row>
    <row r="5" spans="1:36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</row>
    <row r="6" spans="1:36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57"/>
      <c r="AG6" s="8"/>
      <c r="AH6" s="8"/>
      <c r="AI6" s="8"/>
      <c r="AJ6" s="8"/>
    </row>
    <row r="7" spans="1:36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7"/>
      <c r="AG7" s="27"/>
      <c r="AH7" s="9"/>
      <c r="AI7" s="27"/>
      <c r="AJ7" s="9"/>
    </row>
    <row r="8" spans="1:36" x14ac:dyDescent="0.25">
      <c r="A8" s="19" t="s">
        <v>8</v>
      </c>
      <c r="B8" s="56">
        <v>4826</v>
      </c>
      <c r="C8" s="60"/>
      <c r="D8" s="60"/>
      <c r="E8" s="56">
        <v>9328</v>
      </c>
      <c r="F8" s="56">
        <v>15620</v>
      </c>
      <c r="G8" s="56">
        <v>19918</v>
      </c>
      <c r="H8" s="56">
        <v>23981</v>
      </c>
      <c r="I8" s="56">
        <v>26140</v>
      </c>
      <c r="J8" s="61"/>
      <c r="K8" s="89"/>
      <c r="L8" s="120">
        <v>29416</v>
      </c>
      <c r="M8" s="120">
        <v>34070</v>
      </c>
      <c r="N8" s="56">
        <v>40132</v>
      </c>
      <c r="O8" s="56">
        <v>46142</v>
      </c>
      <c r="P8" s="56">
        <v>52225</v>
      </c>
      <c r="Q8" s="61"/>
      <c r="R8" s="89"/>
      <c r="S8" s="56">
        <v>55964</v>
      </c>
      <c r="T8" s="56">
        <v>60602</v>
      </c>
      <c r="U8" s="56">
        <v>65826</v>
      </c>
      <c r="V8" s="56">
        <v>72939</v>
      </c>
      <c r="W8" s="56">
        <v>78962</v>
      </c>
      <c r="X8" s="61"/>
      <c r="Y8" s="89"/>
      <c r="Z8" s="56">
        <v>82609</v>
      </c>
      <c r="AA8" s="80">
        <v>87797</v>
      </c>
      <c r="AB8" s="80">
        <v>91933</v>
      </c>
      <c r="AC8" s="56">
        <v>100288</v>
      </c>
      <c r="AD8" s="56">
        <v>108839</v>
      </c>
      <c r="AE8" s="61"/>
      <c r="AF8" s="58"/>
      <c r="AG8" s="2"/>
      <c r="AH8" s="2"/>
      <c r="AI8" s="2"/>
      <c r="AJ8" s="10"/>
    </row>
    <row r="9" spans="1:36" x14ac:dyDescent="0.25">
      <c r="A9" s="19" t="s">
        <v>1</v>
      </c>
      <c r="B9" s="52">
        <v>5856</v>
      </c>
      <c r="C9" s="63"/>
      <c r="D9" s="63"/>
      <c r="E9" s="52">
        <f>B9+5856</f>
        <v>11712</v>
      </c>
      <c r="F9" s="52">
        <f>E9+5856</f>
        <v>17568</v>
      </c>
      <c r="G9" s="52">
        <f t="shared" ref="G9:I9" si="0">F9+5856</f>
        <v>23424</v>
      </c>
      <c r="H9" s="52">
        <f t="shared" si="0"/>
        <v>29280</v>
      </c>
      <c r="I9" s="52">
        <f t="shared" si="0"/>
        <v>35136</v>
      </c>
      <c r="J9" s="64"/>
      <c r="K9" s="85"/>
      <c r="L9" s="71">
        <f>I9+5856</f>
        <v>40992</v>
      </c>
      <c r="M9" s="71">
        <f>L9+5856</f>
        <v>46848</v>
      </c>
      <c r="N9" s="71">
        <f t="shared" ref="N9:P9" si="1">M9+5856</f>
        <v>52704</v>
      </c>
      <c r="O9" s="71">
        <f t="shared" si="1"/>
        <v>58560</v>
      </c>
      <c r="P9" s="71">
        <f t="shared" si="1"/>
        <v>64416</v>
      </c>
      <c r="Q9" s="64"/>
      <c r="R9" s="85"/>
      <c r="S9" s="71">
        <f>P9+5856</f>
        <v>70272</v>
      </c>
      <c r="T9" s="71">
        <f>S9+5856</f>
        <v>76128</v>
      </c>
      <c r="U9" s="71">
        <f t="shared" ref="U9:W9" si="2">T9+5856</f>
        <v>81984</v>
      </c>
      <c r="V9" s="71">
        <f t="shared" si="2"/>
        <v>87840</v>
      </c>
      <c r="W9" s="71">
        <f t="shared" si="2"/>
        <v>93696</v>
      </c>
      <c r="X9" s="64"/>
      <c r="Y9" s="85"/>
      <c r="Z9" s="71">
        <f>W9+5856</f>
        <v>99552</v>
      </c>
      <c r="AA9" s="71">
        <f>Z9+5856</f>
        <v>105408</v>
      </c>
      <c r="AB9" s="71">
        <f t="shared" ref="AB9:AD9" si="3">AA9+5856</f>
        <v>111264</v>
      </c>
      <c r="AC9" s="71">
        <f t="shared" si="3"/>
        <v>117120</v>
      </c>
      <c r="AD9" s="71">
        <f t="shared" si="3"/>
        <v>122976</v>
      </c>
      <c r="AE9" s="91"/>
      <c r="AF9" s="58"/>
      <c r="AG9" s="2"/>
      <c r="AH9" s="2"/>
      <c r="AI9" s="2"/>
      <c r="AJ9" s="2"/>
    </row>
    <row r="10" spans="1:36" x14ac:dyDescent="0.25">
      <c r="A10" s="19" t="s">
        <v>2</v>
      </c>
      <c r="B10" s="4">
        <f>B8/B9</f>
        <v>0.82411202185792354</v>
      </c>
      <c r="C10" s="15"/>
      <c r="D10" s="15"/>
      <c r="E10" s="4">
        <f t="shared" ref="E10:AD10" si="4">E8/E9</f>
        <v>0.79644808743169404</v>
      </c>
      <c r="F10" s="4">
        <f t="shared" si="4"/>
        <v>0.88911657559198543</v>
      </c>
      <c r="G10" s="4">
        <f t="shared" si="4"/>
        <v>0.85032445355191255</v>
      </c>
      <c r="H10" s="4">
        <f t="shared" si="4"/>
        <v>0.81902322404371586</v>
      </c>
      <c r="I10" s="4">
        <f t="shared" si="4"/>
        <v>0.7439663023679417</v>
      </c>
      <c r="J10" s="15"/>
      <c r="K10" s="15"/>
      <c r="L10" s="4">
        <f t="shared" si="4"/>
        <v>0.71760343481654953</v>
      </c>
      <c r="M10" s="4">
        <f t="shared" si="4"/>
        <v>0.72724556010928965</v>
      </c>
      <c r="N10" s="4">
        <f t="shared" si="4"/>
        <v>0.76146023072252578</v>
      </c>
      <c r="O10" s="4">
        <f t="shared" si="4"/>
        <v>0.78794398907103824</v>
      </c>
      <c r="P10" s="4">
        <f t="shared" si="4"/>
        <v>0.81074577744659715</v>
      </c>
      <c r="Q10" s="15"/>
      <c r="R10" s="15"/>
      <c r="S10" s="4">
        <f t="shared" si="4"/>
        <v>0.79639116575591984</v>
      </c>
      <c r="T10" s="4">
        <f t="shared" si="4"/>
        <v>0.79605401429171918</v>
      </c>
      <c r="U10" s="4">
        <f t="shared" si="4"/>
        <v>0.80291276346604212</v>
      </c>
      <c r="V10" s="4">
        <f t="shared" si="4"/>
        <v>0.83036202185792352</v>
      </c>
      <c r="W10" s="4">
        <f t="shared" si="4"/>
        <v>0.84274675546448086</v>
      </c>
      <c r="X10" s="15"/>
      <c r="Y10" s="15"/>
      <c r="Z10" s="4">
        <f t="shared" si="4"/>
        <v>0.82980753776920602</v>
      </c>
      <c r="AA10" s="4">
        <f t="shared" si="4"/>
        <v>0.83292539465695203</v>
      </c>
      <c r="AB10" s="4">
        <f t="shared" si="4"/>
        <v>0.82626006614897896</v>
      </c>
      <c r="AC10" s="4">
        <f t="shared" si="4"/>
        <v>0.85628415300546445</v>
      </c>
      <c r="AD10" s="4">
        <f t="shared" si="4"/>
        <v>0.88504260994015094</v>
      </c>
      <c r="AE10" s="15"/>
      <c r="AF10" s="11"/>
      <c r="AG10" s="11"/>
      <c r="AH10" s="11"/>
      <c r="AI10" s="11"/>
      <c r="AJ10" s="11"/>
    </row>
    <row r="11" spans="1:36" ht="15.75" thickBot="1" x14ac:dyDescent="0.3">
      <c r="A11" s="20"/>
      <c r="B11" s="7"/>
      <c r="C11" s="16"/>
      <c r="D11" s="16"/>
      <c r="E11" s="26"/>
      <c r="F11" s="26"/>
      <c r="G11" s="7"/>
      <c r="H11" s="7"/>
      <c r="I11" s="7"/>
      <c r="J11" s="55"/>
      <c r="K11" s="90"/>
      <c r="L11" s="7"/>
      <c r="M11" s="7"/>
      <c r="N11" s="7"/>
      <c r="O11" s="7"/>
      <c r="P11" s="7"/>
      <c r="Q11" s="55"/>
      <c r="R11" s="90"/>
      <c r="S11" s="7"/>
      <c r="T11" s="7"/>
      <c r="U11" s="7"/>
      <c r="V11" s="7"/>
      <c r="W11" s="7"/>
      <c r="X11" s="55"/>
      <c r="Y11" s="90"/>
      <c r="Z11" s="7"/>
      <c r="AA11" s="82"/>
      <c r="AB11" s="82"/>
      <c r="AC11" s="7"/>
      <c r="AD11" s="7"/>
      <c r="AE11" s="55"/>
      <c r="AF11" s="11"/>
      <c r="AG11" s="11"/>
      <c r="AH11" s="11"/>
      <c r="AI11" s="11"/>
      <c r="AJ11" s="11"/>
    </row>
    <row r="12" spans="1:36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</row>
    <row r="13" spans="1:36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</row>
    <row r="14" spans="1:36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32"/>
    </row>
    <row r="15" spans="1:36" x14ac:dyDescent="0.25">
      <c r="A15" s="19" t="s">
        <v>8</v>
      </c>
      <c r="B15" s="56">
        <v>0</v>
      </c>
      <c r="C15" s="60"/>
      <c r="D15" s="60"/>
      <c r="E15" s="56">
        <v>0</v>
      </c>
      <c r="F15" s="56">
        <v>1142</v>
      </c>
      <c r="G15" s="56">
        <v>1861</v>
      </c>
      <c r="H15" s="56">
        <v>1861</v>
      </c>
      <c r="I15" s="56">
        <v>2390</v>
      </c>
      <c r="J15" s="61"/>
      <c r="K15" s="89"/>
      <c r="L15" s="120">
        <v>3430</v>
      </c>
      <c r="M15" s="120">
        <v>4302</v>
      </c>
      <c r="N15" s="56">
        <v>4302</v>
      </c>
      <c r="O15" s="56">
        <v>4449</v>
      </c>
      <c r="P15" s="56">
        <v>5788</v>
      </c>
      <c r="Q15" s="61"/>
      <c r="R15" s="89"/>
      <c r="S15" s="56">
        <v>6834</v>
      </c>
      <c r="T15" s="56">
        <v>7967</v>
      </c>
      <c r="U15" s="56">
        <v>8592</v>
      </c>
      <c r="V15" s="56">
        <v>8592</v>
      </c>
      <c r="W15" s="56">
        <v>8592</v>
      </c>
      <c r="X15" s="61"/>
      <c r="Y15" s="89"/>
      <c r="Z15" s="56">
        <v>8974</v>
      </c>
      <c r="AA15" s="80">
        <v>9522</v>
      </c>
      <c r="AB15" s="80">
        <v>10003</v>
      </c>
      <c r="AC15" s="56">
        <v>10877</v>
      </c>
      <c r="AD15" s="56">
        <v>11443</v>
      </c>
      <c r="AE15" s="61"/>
      <c r="AF15" s="32"/>
    </row>
    <row r="16" spans="1:36" x14ac:dyDescent="0.25">
      <c r="A16" s="19" t="s">
        <v>1</v>
      </c>
      <c r="B16" s="52">
        <v>792</v>
      </c>
      <c r="C16" s="63"/>
      <c r="D16" s="63"/>
      <c r="E16" s="52">
        <f>B16+792</f>
        <v>1584</v>
      </c>
      <c r="F16" s="52">
        <f>E16+792</f>
        <v>2376</v>
      </c>
      <c r="G16" s="52">
        <f t="shared" ref="G16:I16" si="5">F16+792</f>
        <v>3168</v>
      </c>
      <c r="H16" s="52">
        <f t="shared" si="5"/>
        <v>3960</v>
      </c>
      <c r="I16" s="52">
        <f t="shared" si="5"/>
        <v>4752</v>
      </c>
      <c r="J16" s="64"/>
      <c r="K16" s="85"/>
      <c r="L16" s="71">
        <f>I16+792</f>
        <v>5544</v>
      </c>
      <c r="M16" s="71">
        <f>L16+792</f>
        <v>6336</v>
      </c>
      <c r="N16" s="71">
        <f t="shared" ref="N16:P16" si="6">M16+792</f>
        <v>7128</v>
      </c>
      <c r="O16" s="71">
        <f t="shared" si="6"/>
        <v>7920</v>
      </c>
      <c r="P16" s="71">
        <f t="shared" si="6"/>
        <v>8712</v>
      </c>
      <c r="Q16" s="64"/>
      <c r="R16" s="85"/>
      <c r="S16" s="71">
        <f>P16+792</f>
        <v>9504</v>
      </c>
      <c r="T16" s="71">
        <f>S16+792</f>
        <v>10296</v>
      </c>
      <c r="U16" s="71">
        <f t="shared" ref="U16:W16" si="7">T16+792</f>
        <v>11088</v>
      </c>
      <c r="V16" s="71">
        <f t="shared" si="7"/>
        <v>11880</v>
      </c>
      <c r="W16" s="71">
        <f t="shared" si="7"/>
        <v>12672</v>
      </c>
      <c r="X16" s="64"/>
      <c r="Y16" s="85"/>
      <c r="Z16" s="71">
        <f>W16+792</f>
        <v>13464</v>
      </c>
      <c r="AA16" s="71">
        <f>Z16+792</f>
        <v>14256</v>
      </c>
      <c r="AB16" s="71">
        <f t="shared" ref="AB16:AD16" si="8">AA16+792</f>
        <v>15048</v>
      </c>
      <c r="AC16" s="71">
        <f t="shared" si="8"/>
        <v>15840</v>
      </c>
      <c r="AD16" s="71">
        <f t="shared" si="8"/>
        <v>16632</v>
      </c>
      <c r="AE16" s="91"/>
      <c r="AF16" s="32"/>
    </row>
    <row r="17" spans="1:32" x14ac:dyDescent="0.25">
      <c r="A17" s="19" t="s">
        <v>2</v>
      </c>
      <c r="B17" s="4">
        <f>B15/B16</f>
        <v>0</v>
      </c>
      <c r="C17" s="15"/>
      <c r="D17" s="15"/>
      <c r="E17" s="4">
        <f t="shared" ref="E17:AD17" si="9">E15/E16</f>
        <v>0</v>
      </c>
      <c r="F17" s="4">
        <f t="shared" si="9"/>
        <v>0.48063973063973064</v>
      </c>
      <c r="G17" s="4">
        <f t="shared" si="9"/>
        <v>0.58743686868686873</v>
      </c>
      <c r="H17" s="4">
        <f t="shared" si="9"/>
        <v>0.46994949494949495</v>
      </c>
      <c r="I17" s="4">
        <f t="shared" si="9"/>
        <v>0.50294612794612792</v>
      </c>
      <c r="J17" s="15"/>
      <c r="K17" s="15"/>
      <c r="L17" s="4">
        <f t="shared" si="9"/>
        <v>0.61868686868686873</v>
      </c>
      <c r="M17" s="4">
        <f t="shared" si="9"/>
        <v>0.67897727272727271</v>
      </c>
      <c r="N17" s="4">
        <f t="shared" si="9"/>
        <v>0.60353535353535348</v>
      </c>
      <c r="O17" s="4">
        <f t="shared" si="9"/>
        <v>0.56174242424242427</v>
      </c>
      <c r="P17" s="4">
        <f t="shared" si="9"/>
        <v>0.66437098255280069</v>
      </c>
      <c r="Q17" s="15"/>
      <c r="R17" s="15"/>
      <c r="S17" s="4">
        <f t="shared" si="9"/>
        <v>0.71906565656565657</v>
      </c>
      <c r="T17" s="4">
        <f t="shared" si="9"/>
        <v>0.77379564879564877</v>
      </c>
      <c r="U17" s="4">
        <f t="shared" si="9"/>
        <v>0.77489177489177485</v>
      </c>
      <c r="V17" s="4">
        <f t="shared" si="9"/>
        <v>0.72323232323232323</v>
      </c>
      <c r="W17" s="4">
        <f t="shared" si="9"/>
        <v>0.67803030303030298</v>
      </c>
      <c r="X17" s="15"/>
      <c r="Y17" s="15"/>
      <c r="Z17" s="4">
        <f t="shared" si="9"/>
        <v>0.66651812240047537</v>
      </c>
      <c r="AA17" s="4">
        <f t="shared" si="9"/>
        <v>0.66792929292929293</v>
      </c>
      <c r="AB17" s="4">
        <f t="shared" si="9"/>
        <v>0.66473950026581607</v>
      </c>
      <c r="AC17" s="4">
        <f t="shared" si="9"/>
        <v>0.68667929292929297</v>
      </c>
      <c r="AD17" s="4">
        <f t="shared" si="9"/>
        <v>0.68801106301106296</v>
      </c>
      <c r="AE17" s="15"/>
      <c r="AF17" s="32"/>
    </row>
    <row r="18" spans="1:32" ht="15.75" thickBot="1" x14ac:dyDescent="0.3">
      <c r="A18" s="20"/>
      <c r="B18" s="7"/>
      <c r="C18" s="16"/>
      <c r="D18" s="16"/>
      <c r="E18" s="26"/>
      <c r="F18" s="26"/>
      <c r="G18" s="7"/>
      <c r="H18" s="7"/>
      <c r="I18" s="7"/>
      <c r="J18" s="55"/>
      <c r="K18" s="90"/>
      <c r="L18" s="7"/>
      <c r="M18" s="7"/>
      <c r="N18" s="7"/>
      <c r="O18" s="7"/>
      <c r="P18" s="7"/>
      <c r="Q18" s="55"/>
      <c r="R18" s="90"/>
      <c r="S18" s="7"/>
      <c r="T18" s="7"/>
      <c r="U18" s="7"/>
      <c r="V18" s="7"/>
      <c r="W18" s="7"/>
      <c r="X18" s="55"/>
      <c r="Y18" s="90"/>
      <c r="Z18" s="7"/>
      <c r="AA18" s="82"/>
      <c r="AB18" s="82"/>
      <c r="AC18" s="7"/>
      <c r="AD18" s="7"/>
      <c r="AE18" s="55"/>
      <c r="AF18" s="32"/>
    </row>
    <row r="19" spans="1:32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</row>
    <row r="20" spans="1:32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</row>
    <row r="21" spans="1:32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32"/>
    </row>
    <row r="22" spans="1:32" x14ac:dyDescent="0.25">
      <c r="A22" s="19" t="s">
        <v>8</v>
      </c>
      <c r="B22" s="56">
        <v>3105</v>
      </c>
      <c r="C22" s="60"/>
      <c r="D22" s="60"/>
      <c r="E22" s="56">
        <v>4421</v>
      </c>
      <c r="F22" s="56">
        <v>5573</v>
      </c>
      <c r="G22" s="56">
        <v>5874</v>
      </c>
      <c r="H22" s="56">
        <v>8308</v>
      </c>
      <c r="I22" s="56">
        <v>12036</v>
      </c>
      <c r="J22" s="61"/>
      <c r="K22" s="89"/>
      <c r="L22" s="120">
        <v>13928</v>
      </c>
      <c r="M22" s="120">
        <v>15693</v>
      </c>
      <c r="N22" s="56">
        <v>18776</v>
      </c>
      <c r="O22" s="56">
        <v>20789</v>
      </c>
      <c r="P22" s="56">
        <v>25702</v>
      </c>
      <c r="Q22" s="61"/>
      <c r="R22" s="89"/>
      <c r="S22" s="56">
        <v>28377</v>
      </c>
      <c r="T22" s="56">
        <v>30588</v>
      </c>
      <c r="U22" s="56">
        <v>32457</v>
      </c>
      <c r="V22" s="56">
        <v>37208</v>
      </c>
      <c r="W22" s="56">
        <v>40741</v>
      </c>
      <c r="X22" s="61"/>
      <c r="Y22" s="89"/>
      <c r="Z22" s="56">
        <v>41254</v>
      </c>
      <c r="AA22" s="80">
        <v>44421</v>
      </c>
      <c r="AB22" s="80">
        <v>47335</v>
      </c>
      <c r="AC22" s="56">
        <v>48982</v>
      </c>
      <c r="AD22" s="56">
        <v>58811</v>
      </c>
      <c r="AE22" s="61"/>
      <c r="AF22" s="32"/>
    </row>
    <row r="23" spans="1:32" x14ac:dyDescent="0.25">
      <c r="A23" s="19" t="s">
        <v>1</v>
      </c>
      <c r="B23" s="52">
        <v>2877</v>
      </c>
      <c r="C23" s="63"/>
      <c r="D23" s="63"/>
      <c r="E23" s="52">
        <f>B23+2877</f>
        <v>5754</v>
      </c>
      <c r="F23" s="52">
        <f>E23+2877</f>
        <v>8631</v>
      </c>
      <c r="G23" s="52">
        <f t="shared" ref="G23:I23" si="10">F23+2877</f>
        <v>11508</v>
      </c>
      <c r="H23" s="52">
        <f t="shared" si="10"/>
        <v>14385</v>
      </c>
      <c r="I23" s="52">
        <f t="shared" si="10"/>
        <v>17262</v>
      </c>
      <c r="J23" s="64"/>
      <c r="K23" s="85"/>
      <c r="L23" s="71">
        <f>I23+2877</f>
        <v>20139</v>
      </c>
      <c r="M23" s="71">
        <f>L23+2877</f>
        <v>23016</v>
      </c>
      <c r="N23" s="71">
        <f t="shared" ref="N23:P23" si="11">M23+2877</f>
        <v>25893</v>
      </c>
      <c r="O23" s="71">
        <f t="shared" si="11"/>
        <v>28770</v>
      </c>
      <c r="P23" s="71">
        <f t="shared" si="11"/>
        <v>31647</v>
      </c>
      <c r="Q23" s="64"/>
      <c r="R23" s="85"/>
      <c r="S23" s="71">
        <f>P23+2877</f>
        <v>34524</v>
      </c>
      <c r="T23" s="71">
        <f>S23+2877</f>
        <v>37401</v>
      </c>
      <c r="U23" s="71">
        <f t="shared" ref="U23:W23" si="12">T23+2877</f>
        <v>40278</v>
      </c>
      <c r="V23" s="71">
        <f t="shared" si="12"/>
        <v>43155</v>
      </c>
      <c r="W23" s="71">
        <f t="shared" si="12"/>
        <v>46032</v>
      </c>
      <c r="X23" s="64"/>
      <c r="Y23" s="85"/>
      <c r="Z23" s="71">
        <f>W23+2877</f>
        <v>48909</v>
      </c>
      <c r="AA23" s="71">
        <f>Z23+2877</f>
        <v>51786</v>
      </c>
      <c r="AB23" s="71">
        <f>AA23+2877</f>
        <v>54663</v>
      </c>
      <c r="AC23" s="71">
        <f t="shared" ref="AC23:AD23" si="13">AB23+2877</f>
        <v>57540</v>
      </c>
      <c r="AD23" s="71">
        <f t="shared" si="13"/>
        <v>60417</v>
      </c>
      <c r="AE23" s="91"/>
      <c r="AF23" s="32"/>
    </row>
    <row r="24" spans="1:32" x14ac:dyDescent="0.25">
      <c r="A24" s="19" t="s">
        <v>2</v>
      </c>
      <c r="B24" s="4">
        <f>B22/B23</f>
        <v>1.0792492179353492</v>
      </c>
      <c r="C24" s="15"/>
      <c r="D24" s="15"/>
      <c r="E24" s="4">
        <f t="shared" ref="E24:AD24" si="14">E22/E23</f>
        <v>0.76833507125477929</v>
      </c>
      <c r="F24" s="4">
        <f t="shared" si="14"/>
        <v>0.64569574788552886</v>
      </c>
      <c r="G24" s="4">
        <f t="shared" si="14"/>
        <v>0.51042752867570385</v>
      </c>
      <c r="H24" s="4">
        <f t="shared" si="14"/>
        <v>0.57754605491831768</v>
      </c>
      <c r="I24" s="4">
        <f t="shared" si="14"/>
        <v>0.69725408411539802</v>
      </c>
      <c r="J24" s="15"/>
      <c r="K24" s="15"/>
      <c r="L24" s="4">
        <f t="shared" si="14"/>
        <v>0.69159342569144444</v>
      </c>
      <c r="M24" s="4">
        <f t="shared" si="14"/>
        <v>0.68183003128258601</v>
      </c>
      <c r="N24" s="4">
        <f t="shared" si="14"/>
        <v>0.72513806820376159</v>
      </c>
      <c r="O24" s="4">
        <f t="shared" si="14"/>
        <v>0.7225929787973584</v>
      </c>
      <c r="P24" s="4">
        <f t="shared" si="14"/>
        <v>0.8121464909786078</v>
      </c>
      <c r="Q24" s="15"/>
      <c r="R24" s="15"/>
      <c r="S24" s="4">
        <f t="shared" si="14"/>
        <v>0.82194994786235664</v>
      </c>
      <c r="T24" s="4">
        <f t="shared" si="14"/>
        <v>0.817839095211358</v>
      </c>
      <c r="U24" s="4">
        <f t="shared" si="14"/>
        <v>0.80582451958885748</v>
      </c>
      <c r="V24" s="4">
        <f t="shared" si="14"/>
        <v>0.86219441547908704</v>
      </c>
      <c r="W24" s="4">
        <f t="shared" si="14"/>
        <v>0.8850582203684394</v>
      </c>
      <c r="X24" s="15"/>
      <c r="Y24" s="15"/>
      <c r="Z24" s="4">
        <f t="shared" si="14"/>
        <v>0.84348483919115091</v>
      </c>
      <c r="AA24" s="4">
        <f t="shared" si="14"/>
        <v>0.85778009500637242</v>
      </c>
      <c r="AB24" s="4">
        <f t="shared" si="14"/>
        <v>0.86594222783235464</v>
      </c>
      <c r="AC24" s="4">
        <f t="shared" si="14"/>
        <v>0.85126868265554401</v>
      </c>
      <c r="AD24" s="4">
        <f t="shared" si="14"/>
        <v>0.97341807769336441</v>
      </c>
      <c r="AE24" s="15"/>
      <c r="AF24" s="32"/>
    </row>
    <row r="25" spans="1:32" ht="15.75" thickBot="1" x14ac:dyDescent="0.3">
      <c r="A25" s="20"/>
      <c r="B25" s="7"/>
      <c r="C25" s="16"/>
      <c r="D25" s="16"/>
      <c r="E25" s="26"/>
      <c r="F25" s="26"/>
      <c r="G25" s="7"/>
      <c r="H25" s="7"/>
      <c r="I25" s="7"/>
      <c r="J25" s="55"/>
      <c r="K25" s="90"/>
      <c r="L25" s="7"/>
      <c r="M25" s="7"/>
      <c r="N25" s="7"/>
      <c r="O25" s="7"/>
      <c r="P25" s="7"/>
      <c r="Q25" s="55"/>
      <c r="R25" s="90"/>
      <c r="S25" s="7"/>
      <c r="T25" s="7"/>
      <c r="U25" s="7"/>
      <c r="V25" s="7"/>
      <c r="W25" s="7"/>
      <c r="X25" s="55"/>
      <c r="Y25" s="90"/>
      <c r="Z25" s="7"/>
      <c r="AA25" s="82"/>
      <c r="AB25" s="82"/>
      <c r="AC25" s="7"/>
      <c r="AD25" s="7"/>
      <c r="AE25" s="55"/>
      <c r="AF25" s="32"/>
    </row>
    <row r="26" spans="1:32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</row>
    <row r="27" spans="1:32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</row>
    <row r="28" spans="1:32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32"/>
    </row>
    <row r="29" spans="1:32" x14ac:dyDescent="0.25">
      <c r="A29" s="19" t="s">
        <v>8</v>
      </c>
      <c r="B29" s="56">
        <v>788</v>
      </c>
      <c r="C29" s="60"/>
      <c r="D29" s="60"/>
      <c r="E29" s="56">
        <v>1171</v>
      </c>
      <c r="F29" s="56">
        <v>1868</v>
      </c>
      <c r="G29" s="56">
        <v>3297</v>
      </c>
      <c r="H29" s="56">
        <v>4942</v>
      </c>
      <c r="I29" s="56">
        <v>5286</v>
      </c>
      <c r="J29" s="61"/>
      <c r="K29" s="89"/>
      <c r="L29" s="120">
        <v>6410</v>
      </c>
      <c r="M29" s="120">
        <v>8558</v>
      </c>
      <c r="N29" s="56">
        <v>9800</v>
      </c>
      <c r="O29" s="56">
        <v>10624</v>
      </c>
      <c r="P29" s="56">
        <v>12585</v>
      </c>
      <c r="Q29" s="61"/>
      <c r="R29" s="89"/>
      <c r="S29" s="56">
        <v>13288</v>
      </c>
      <c r="T29" s="56">
        <v>14594</v>
      </c>
      <c r="U29" s="56">
        <v>15716</v>
      </c>
      <c r="V29" s="56">
        <v>16059</v>
      </c>
      <c r="W29" s="56">
        <v>17273</v>
      </c>
      <c r="X29" s="61"/>
      <c r="Y29" s="89"/>
      <c r="Z29" s="56">
        <v>19018</v>
      </c>
      <c r="AA29" s="80">
        <v>22197</v>
      </c>
      <c r="AB29" s="80">
        <v>23211</v>
      </c>
      <c r="AC29" s="56">
        <v>25144</v>
      </c>
      <c r="AD29" s="56">
        <v>29315</v>
      </c>
      <c r="AE29" s="61"/>
      <c r="AF29" s="32"/>
    </row>
    <row r="30" spans="1:32" x14ac:dyDescent="0.25">
      <c r="A30" s="19" t="s">
        <v>1</v>
      </c>
      <c r="B30" s="52">
        <v>1770</v>
      </c>
      <c r="C30" s="63"/>
      <c r="D30" s="63"/>
      <c r="E30" s="52">
        <f>B30+1770</f>
        <v>3540</v>
      </c>
      <c r="F30" s="52">
        <f>E30+1770</f>
        <v>5310</v>
      </c>
      <c r="G30" s="52">
        <f t="shared" ref="G30:I30" si="15">F30+1770</f>
        <v>7080</v>
      </c>
      <c r="H30" s="52">
        <f t="shared" si="15"/>
        <v>8850</v>
      </c>
      <c r="I30" s="52">
        <f t="shared" si="15"/>
        <v>10620</v>
      </c>
      <c r="J30" s="64"/>
      <c r="K30" s="85"/>
      <c r="L30" s="71">
        <f>I30+1770</f>
        <v>12390</v>
      </c>
      <c r="M30" s="71">
        <f>L30+1770</f>
        <v>14160</v>
      </c>
      <c r="N30" s="71">
        <f t="shared" ref="N30:P30" si="16">M30+1770</f>
        <v>15930</v>
      </c>
      <c r="O30" s="71">
        <f t="shared" si="16"/>
        <v>17700</v>
      </c>
      <c r="P30" s="71">
        <f t="shared" si="16"/>
        <v>19470</v>
      </c>
      <c r="Q30" s="64"/>
      <c r="R30" s="85"/>
      <c r="S30" s="71">
        <f>P30+1770</f>
        <v>21240</v>
      </c>
      <c r="T30" s="71">
        <f>S30+1770</f>
        <v>23010</v>
      </c>
      <c r="U30" s="71">
        <f t="shared" ref="U30:W30" si="17">T30+1770</f>
        <v>24780</v>
      </c>
      <c r="V30" s="71">
        <f t="shared" si="17"/>
        <v>26550</v>
      </c>
      <c r="W30" s="71">
        <f t="shared" si="17"/>
        <v>28320</v>
      </c>
      <c r="X30" s="64"/>
      <c r="Y30" s="85"/>
      <c r="Z30" s="71">
        <f>W30+1770</f>
        <v>30090</v>
      </c>
      <c r="AA30" s="71">
        <f>Z30+1770</f>
        <v>31860</v>
      </c>
      <c r="AB30" s="71">
        <f t="shared" ref="AB30:AD30" si="18">AA30+1770</f>
        <v>33630</v>
      </c>
      <c r="AC30" s="71">
        <f t="shared" si="18"/>
        <v>35400</v>
      </c>
      <c r="AD30" s="71">
        <f t="shared" si="18"/>
        <v>37170</v>
      </c>
      <c r="AE30" s="91"/>
      <c r="AF30" s="32"/>
    </row>
    <row r="31" spans="1:32" x14ac:dyDescent="0.25">
      <c r="A31" s="19" t="s">
        <v>2</v>
      </c>
      <c r="B31" s="4">
        <f>B29/B30</f>
        <v>0.44519774011299434</v>
      </c>
      <c r="C31" s="15"/>
      <c r="D31" s="15"/>
      <c r="E31" s="4">
        <f t="shared" ref="E31:AD31" si="19">E29/E30</f>
        <v>0.33079096045197742</v>
      </c>
      <c r="F31" s="4">
        <f t="shared" si="19"/>
        <v>0.351789077212806</v>
      </c>
      <c r="G31" s="4">
        <f t="shared" si="19"/>
        <v>0.46567796610169493</v>
      </c>
      <c r="H31" s="4">
        <f t="shared" si="19"/>
        <v>0.55841807909604524</v>
      </c>
      <c r="I31" s="4">
        <f t="shared" si="19"/>
        <v>0.49774011299435028</v>
      </c>
      <c r="J31" s="15"/>
      <c r="K31" s="15"/>
      <c r="L31" s="4">
        <f t="shared" si="19"/>
        <v>0.51735270379338172</v>
      </c>
      <c r="M31" s="4">
        <f t="shared" si="19"/>
        <v>0.6043785310734463</v>
      </c>
      <c r="N31" s="4">
        <f t="shared" si="19"/>
        <v>0.61519146264908975</v>
      </c>
      <c r="O31" s="4">
        <f t="shared" si="19"/>
        <v>0.60022598870056498</v>
      </c>
      <c r="P31" s="4">
        <f t="shared" si="19"/>
        <v>0.64637904468412943</v>
      </c>
      <c r="Q31" s="15"/>
      <c r="R31" s="15"/>
      <c r="S31" s="4">
        <f t="shared" si="19"/>
        <v>0.62561205273069675</v>
      </c>
      <c r="T31" s="4">
        <f t="shared" si="19"/>
        <v>0.63424598000869192</v>
      </c>
      <c r="U31" s="4">
        <f t="shared" si="19"/>
        <v>0.63422114608555291</v>
      </c>
      <c r="V31" s="4">
        <f t="shared" si="19"/>
        <v>0.60485875706214687</v>
      </c>
      <c r="W31" s="4">
        <f t="shared" si="19"/>
        <v>0.60992231638418082</v>
      </c>
      <c r="X31" s="15"/>
      <c r="Y31" s="15"/>
      <c r="Z31" s="4">
        <f t="shared" si="19"/>
        <v>0.63203722166832832</v>
      </c>
      <c r="AA31" s="4">
        <f t="shared" si="19"/>
        <v>0.69670433145009414</v>
      </c>
      <c r="AB31" s="4">
        <f t="shared" si="19"/>
        <v>0.6901873327386262</v>
      </c>
      <c r="AC31" s="4">
        <f t="shared" si="19"/>
        <v>0.71028248587570619</v>
      </c>
      <c r="AD31" s="4">
        <f t="shared" si="19"/>
        <v>0.7886736615550175</v>
      </c>
      <c r="AE31" s="15"/>
      <c r="AF31" s="32"/>
    </row>
    <row r="32" spans="1:32" ht="15.75" thickBot="1" x14ac:dyDescent="0.3">
      <c r="A32" s="20"/>
      <c r="B32" s="7"/>
      <c r="C32" s="16"/>
      <c r="D32" s="16"/>
      <c r="E32" s="26"/>
      <c r="F32" s="26"/>
      <c r="G32" s="7"/>
      <c r="H32" s="7"/>
      <c r="I32" s="7"/>
      <c r="J32" s="55"/>
      <c r="K32" s="90"/>
      <c r="L32" s="7"/>
      <c r="M32" s="7"/>
      <c r="N32" s="7"/>
      <c r="O32" s="7"/>
      <c r="P32" s="7"/>
      <c r="Q32" s="55"/>
      <c r="R32" s="90"/>
      <c r="S32" s="7"/>
      <c r="T32" s="7"/>
      <c r="U32" s="7"/>
      <c r="V32" s="7"/>
      <c r="W32" s="7"/>
      <c r="X32" s="55"/>
      <c r="Y32" s="90"/>
      <c r="Z32" s="7"/>
      <c r="AA32" s="82"/>
      <c r="AB32" s="82"/>
      <c r="AC32" s="7"/>
      <c r="AD32" s="7"/>
      <c r="AE32" s="55"/>
      <c r="AF32" s="32"/>
    </row>
    <row r="33" spans="1:32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</row>
    <row r="34" spans="1:32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</row>
    <row r="35" spans="1:32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32"/>
    </row>
    <row r="36" spans="1:32" x14ac:dyDescent="0.25">
      <c r="A36" s="19" t="s">
        <v>8</v>
      </c>
      <c r="B36" s="56">
        <v>1431</v>
      </c>
      <c r="C36" s="60"/>
      <c r="D36" s="60"/>
      <c r="E36" s="56">
        <v>2644</v>
      </c>
      <c r="F36" s="56">
        <v>4420</v>
      </c>
      <c r="G36" s="56">
        <v>6707</v>
      </c>
      <c r="H36" s="56">
        <v>9683</v>
      </c>
      <c r="I36" s="56">
        <v>12711</v>
      </c>
      <c r="J36" s="61"/>
      <c r="K36" s="89"/>
      <c r="L36" s="120">
        <v>14893</v>
      </c>
      <c r="M36" s="120">
        <v>19257</v>
      </c>
      <c r="N36" s="56">
        <v>21141</v>
      </c>
      <c r="O36" s="56">
        <v>23146</v>
      </c>
      <c r="P36" s="56">
        <v>24574</v>
      </c>
      <c r="Q36" s="61"/>
      <c r="R36" s="89"/>
      <c r="S36" s="56">
        <v>28869</v>
      </c>
      <c r="T36" s="56">
        <v>31678</v>
      </c>
      <c r="U36" s="56">
        <v>34144</v>
      </c>
      <c r="V36" s="56">
        <v>37280</v>
      </c>
      <c r="W36" s="56">
        <v>39401</v>
      </c>
      <c r="X36" s="61"/>
      <c r="Y36" s="89"/>
      <c r="Z36" s="56">
        <v>43222</v>
      </c>
      <c r="AA36" s="80">
        <v>47886</v>
      </c>
      <c r="AB36" s="80">
        <v>50088</v>
      </c>
      <c r="AC36" s="56">
        <v>58859</v>
      </c>
      <c r="AD36" s="56">
        <v>64991</v>
      </c>
      <c r="AE36" s="61"/>
      <c r="AF36" s="32"/>
    </row>
    <row r="37" spans="1:32" x14ac:dyDescent="0.25">
      <c r="A37" s="19" t="s">
        <v>1</v>
      </c>
      <c r="B37" s="52">
        <v>3262</v>
      </c>
      <c r="C37" s="63"/>
      <c r="D37" s="63"/>
      <c r="E37" s="52">
        <f>B37+3262</f>
        <v>6524</v>
      </c>
      <c r="F37" s="52">
        <f>E37+3262</f>
        <v>9786</v>
      </c>
      <c r="G37" s="52">
        <f t="shared" ref="G37:I37" si="20">F37+3262</f>
        <v>13048</v>
      </c>
      <c r="H37" s="52">
        <f t="shared" si="20"/>
        <v>16310</v>
      </c>
      <c r="I37" s="52">
        <f t="shared" si="20"/>
        <v>19572</v>
      </c>
      <c r="J37" s="64"/>
      <c r="K37" s="85"/>
      <c r="L37" s="71">
        <f>I37+3262</f>
        <v>22834</v>
      </c>
      <c r="M37" s="71">
        <f>L37+3262</f>
        <v>26096</v>
      </c>
      <c r="N37" s="71">
        <f t="shared" ref="N37:P37" si="21">M37+3262</f>
        <v>29358</v>
      </c>
      <c r="O37" s="71">
        <f t="shared" si="21"/>
        <v>32620</v>
      </c>
      <c r="P37" s="71">
        <f t="shared" si="21"/>
        <v>35882</v>
      </c>
      <c r="Q37" s="64"/>
      <c r="R37" s="85"/>
      <c r="S37" s="71">
        <f>P37+3262</f>
        <v>39144</v>
      </c>
      <c r="T37" s="71">
        <f>S37+3262</f>
        <v>42406</v>
      </c>
      <c r="U37" s="71">
        <f t="shared" ref="U37:W37" si="22">T37+3262</f>
        <v>45668</v>
      </c>
      <c r="V37" s="71">
        <f t="shared" si="22"/>
        <v>48930</v>
      </c>
      <c r="W37" s="71">
        <f t="shared" si="22"/>
        <v>52192</v>
      </c>
      <c r="X37" s="64"/>
      <c r="Y37" s="85"/>
      <c r="Z37" s="71">
        <f>W37+3262</f>
        <v>55454</v>
      </c>
      <c r="AA37" s="71">
        <f>Z37+3262</f>
        <v>58716</v>
      </c>
      <c r="AB37" s="71">
        <f t="shared" ref="AB37:AD37" si="23">AA37+3262</f>
        <v>61978</v>
      </c>
      <c r="AC37" s="71">
        <f t="shared" si="23"/>
        <v>65240</v>
      </c>
      <c r="AD37" s="71">
        <f t="shared" si="23"/>
        <v>68502</v>
      </c>
      <c r="AE37" s="91"/>
      <c r="AF37" s="32"/>
    </row>
    <row r="38" spans="1:32" x14ac:dyDescent="0.25">
      <c r="A38" s="19" t="s">
        <v>2</v>
      </c>
      <c r="B38" s="4">
        <f>B36/B37</f>
        <v>0.43868792152053954</v>
      </c>
      <c r="C38" s="15"/>
      <c r="D38" s="15"/>
      <c r="E38" s="4">
        <f t="shared" ref="E38:AD38" si="24">E36/E37</f>
        <v>0.40527283874923359</v>
      </c>
      <c r="F38" s="4">
        <f t="shared" si="24"/>
        <v>0.45166564479869203</v>
      </c>
      <c r="G38" s="4">
        <f t="shared" si="24"/>
        <v>0.51402513795217653</v>
      </c>
      <c r="H38" s="4">
        <f t="shared" si="24"/>
        <v>0.59368485591661557</v>
      </c>
      <c r="I38" s="4">
        <f t="shared" si="24"/>
        <v>0.64944819129368481</v>
      </c>
      <c r="J38" s="15"/>
      <c r="K38" s="15"/>
      <c r="L38" s="4">
        <f t="shared" si="24"/>
        <v>0.65222913199614607</v>
      </c>
      <c r="M38" s="4">
        <f t="shared" si="24"/>
        <v>0.73792918454935619</v>
      </c>
      <c r="N38" s="4">
        <f t="shared" si="24"/>
        <v>0.72011036174126308</v>
      </c>
      <c r="O38" s="4">
        <f t="shared" si="24"/>
        <v>0.70956468424279584</v>
      </c>
      <c r="P38" s="4">
        <f t="shared" si="24"/>
        <v>0.68485591661557321</v>
      </c>
      <c r="Q38" s="15"/>
      <c r="R38" s="15"/>
      <c r="S38" s="4">
        <f t="shared" si="24"/>
        <v>0.73750766400980994</v>
      </c>
      <c r="T38" s="4">
        <f t="shared" si="24"/>
        <v>0.74701693156628779</v>
      </c>
      <c r="U38" s="4">
        <f t="shared" si="24"/>
        <v>0.74765700271524915</v>
      </c>
      <c r="V38" s="4">
        <f t="shared" si="24"/>
        <v>0.76190476190476186</v>
      </c>
      <c r="W38" s="4">
        <f t="shared" si="24"/>
        <v>0.75492412630288164</v>
      </c>
      <c r="X38" s="15"/>
      <c r="Y38" s="15"/>
      <c r="Z38" s="4">
        <f t="shared" si="24"/>
        <v>0.77942078118801172</v>
      </c>
      <c r="AA38" s="4">
        <f t="shared" si="24"/>
        <v>0.81555283057428984</v>
      </c>
      <c r="AB38" s="4">
        <f t="shared" si="24"/>
        <v>0.80815773338926711</v>
      </c>
      <c r="AC38" s="4">
        <f t="shared" si="24"/>
        <v>0.90219190680564076</v>
      </c>
      <c r="AD38" s="4">
        <f t="shared" si="24"/>
        <v>0.94874602201395575</v>
      </c>
      <c r="AE38" s="15"/>
      <c r="AF38" s="32"/>
    </row>
    <row r="39" spans="1:32" ht="15.75" thickBot="1" x14ac:dyDescent="0.3">
      <c r="A39" s="20"/>
      <c r="B39" s="7"/>
      <c r="C39" s="16"/>
      <c r="D39" s="16"/>
      <c r="E39" s="26"/>
      <c r="F39" s="26"/>
      <c r="G39" s="7"/>
      <c r="H39" s="7"/>
      <c r="I39" s="7"/>
      <c r="J39" s="55"/>
      <c r="K39" s="90"/>
      <c r="L39" s="7"/>
      <c r="M39" s="7"/>
      <c r="N39" s="7"/>
      <c r="O39" s="7"/>
      <c r="P39" s="7"/>
      <c r="Q39" s="55"/>
      <c r="R39" s="90"/>
      <c r="S39" s="7"/>
      <c r="T39" s="7"/>
      <c r="U39" s="7"/>
      <c r="V39" s="7"/>
      <c r="W39" s="7"/>
      <c r="X39" s="55"/>
      <c r="Y39" s="90"/>
      <c r="Z39" s="7"/>
      <c r="AA39" s="82"/>
      <c r="AB39" s="82"/>
      <c r="AC39" s="7"/>
      <c r="AD39" s="7"/>
      <c r="AE39" s="55"/>
      <c r="AF39" s="32"/>
    </row>
    <row r="40" spans="1:32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</row>
    <row r="41" spans="1:32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</row>
    <row r="42" spans="1:32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32"/>
    </row>
    <row r="43" spans="1:32" x14ac:dyDescent="0.25">
      <c r="A43" s="19" t="s">
        <v>8</v>
      </c>
      <c r="B43" s="56">
        <v>746</v>
      </c>
      <c r="C43" s="60"/>
      <c r="D43" s="60"/>
      <c r="E43" s="56">
        <v>1193</v>
      </c>
      <c r="F43" s="56">
        <v>1865</v>
      </c>
      <c r="G43" s="56">
        <v>2098</v>
      </c>
      <c r="H43" s="56">
        <v>2517</v>
      </c>
      <c r="I43" s="56">
        <v>2848</v>
      </c>
      <c r="J43" s="61"/>
      <c r="K43" s="89"/>
      <c r="L43" s="120">
        <v>3684</v>
      </c>
      <c r="M43" s="120">
        <v>3900</v>
      </c>
      <c r="N43" s="56">
        <v>4308</v>
      </c>
      <c r="O43" s="56">
        <v>4308</v>
      </c>
      <c r="P43" s="56">
        <v>4959</v>
      </c>
      <c r="Q43" s="61"/>
      <c r="R43" s="89"/>
      <c r="S43" s="56">
        <v>5573</v>
      </c>
      <c r="T43" s="56">
        <v>5991</v>
      </c>
      <c r="U43" s="56">
        <v>6303</v>
      </c>
      <c r="V43" s="56">
        <v>7150</v>
      </c>
      <c r="W43" s="56">
        <v>8110</v>
      </c>
      <c r="X43" s="61"/>
      <c r="Y43" s="89"/>
      <c r="Z43" s="56">
        <v>8753</v>
      </c>
      <c r="AA43" s="80">
        <v>9089</v>
      </c>
      <c r="AB43" s="80">
        <v>12438</v>
      </c>
      <c r="AC43" s="56">
        <v>13643</v>
      </c>
      <c r="AD43" s="56">
        <v>13873</v>
      </c>
      <c r="AE43" s="61"/>
      <c r="AF43" s="32"/>
    </row>
    <row r="44" spans="1:32" x14ac:dyDescent="0.25">
      <c r="A44" s="19" t="s">
        <v>1</v>
      </c>
      <c r="B44" s="52">
        <f>731</f>
        <v>731</v>
      </c>
      <c r="C44" s="63"/>
      <c r="D44" s="63"/>
      <c r="E44" s="52">
        <f>B44+731</f>
        <v>1462</v>
      </c>
      <c r="F44" s="52">
        <f>E44+731</f>
        <v>2193</v>
      </c>
      <c r="G44" s="52">
        <f>F44+731</f>
        <v>2924</v>
      </c>
      <c r="H44" s="52">
        <f>G44+731</f>
        <v>3655</v>
      </c>
      <c r="I44" s="52">
        <f>H44+731</f>
        <v>4386</v>
      </c>
      <c r="J44" s="64"/>
      <c r="K44" s="85"/>
      <c r="L44" s="71">
        <f>I44+731</f>
        <v>5117</v>
      </c>
      <c r="M44" s="71">
        <f>L44+731</f>
        <v>5848</v>
      </c>
      <c r="N44" s="71">
        <f t="shared" ref="N44:P44" si="25">M44+731</f>
        <v>6579</v>
      </c>
      <c r="O44" s="71">
        <f t="shared" si="25"/>
        <v>7310</v>
      </c>
      <c r="P44" s="71">
        <f t="shared" si="25"/>
        <v>8041</v>
      </c>
      <c r="Q44" s="64"/>
      <c r="R44" s="85"/>
      <c r="S44" s="71">
        <f>P44+731</f>
        <v>8772</v>
      </c>
      <c r="T44" s="71">
        <f>S44+731</f>
        <v>9503</v>
      </c>
      <c r="U44" s="71">
        <f t="shared" ref="U44:W44" si="26">T44+731</f>
        <v>10234</v>
      </c>
      <c r="V44" s="71">
        <f t="shared" si="26"/>
        <v>10965</v>
      </c>
      <c r="W44" s="71">
        <f t="shared" si="26"/>
        <v>11696</v>
      </c>
      <c r="X44" s="64"/>
      <c r="Y44" s="85"/>
      <c r="Z44" s="71">
        <f>W44+731</f>
        <v>12427</v>
      </c>
      <c r="AA44" s="71">
        <f>Z44+731</f>
        <v>13158</v>
      </c>
      <c r="AB44" s="71">
        <f t="shared" ref="AB44:AD44" si="27">AA44+731</f>
        <v>13889</v>
      </c>
      <c r="AC44" s="71">
        <f t="shared" si="27"/>
        <v>14620</v>
      </c>
      <c r="AD44" s="71">
        <f t="shared" si="27"/>
        <v>15351</v>
      </c>
      <c r="AE44" s="91"/>
      <c r="AF44" s="32"/>
    </row>
    <row r="45" spans="1:32" x14ac:dyDescent="0.25">
      <c r="A45" s="19" t="s">
        <v>2</v>
      </c>
      <c r="B45" s="4">
        <f>B43/B44</f>
        <v>1.0205198358413132</v>
      </c>
      <c r="C45" s="15"/>
      <c r="D45" s="15"/>
      <c r="E45" s="4">
        <f t="shared" ref="E45:AD45" si="28">E43/E44</f>
        <v>0.8160054719562243</v>
      </c>
      <c r="F45" s="4">
        <f t="shared" si="28"/>
        <v>0.85043319653442773</v>
      </c>
      <c r="G45" s="4">
        <f t="shared" si="28"/>
        <v>0.71751025991792061</v>
      </c>
      <c r="H45" s="4">
        <f t="shared" si="28"/>
        <v>0.68864569083447336</v>
      </c>
      <c r="I45" s="4">
        <f t="shared" si="28"/>
        <v>0.64933880528955767</v>
      </c>
      <c r="J45" s="15"/>
      <c r="K45" s="15"/>
      <c r="L45" s="4">
        <f t="shared" si="28"/>
        <v>0.71995309751807701</v>
      </c>
      <c r="M45" s="4">
        <f t="shared" si="28"/>
        <v>0.66689466484268123</v>
      </c>
      <c r="N45" s="4">
        <f t="shared" si="28"/>
        <v>0.65481076151390794</v>
      </c>
      <c r="O45" s="4">
        <f t="shared" si="28"/>
        <v>0.58932968536251706</v>
      </c>
      <c r="P45" s="4">
        <f t="shared" si="28"/>
        <v>0.61671433901256068</v>
      </c>
      <c r="Q45" s="15"/>
      <c r="R45" s="15"/>
      <c r="S45" s="4">
        <f t="shared" si="28"/>
        <v>0.63531691746466024</v>
      </c>
      <c r="T45" s="4">
        <f t="shared" si="28"/>
        <v>0.6304324950015785</v>
      </c>
      <c r="U45" s="4">
        <f t="shared" si="28"/>
        <v>0.61588821575141683</v>
      </c>
      <c r="V45" s="4">
        <f t="shared" si="28"/>
        <v>0.65207478340173275</v>
      </c>
      <c r="W45" s="4">
        <f t="shared" si="28"/>
        <v>0.69339945280437754</v>
      </c>
      <c r="X45" s="15"/>
      <c r="Y45" s="15"/>
      <c r="Z45" s="4">
        <f t="shared" si="28"/>
        <v>0.70435342399613743</v>
      </c>
      <c r="AA45" s="4">
        <f t="shared" si="28"/>
        <v>0.69075847393220857</v>
      </c>
      <c r="AB45" s="4">
        <f t="shared" si="28"/>
        <v>0.89552883576931386</v>
      </c>
      <c r="AC45" s="4">
        <f t="shared" si="28"/>
        <v>0.9331737346101231</v>
      </c>
      <c r="AD45" s="4">
        <f t="shared" si="28"/>
        <v>0.90371962738583811</v>
      </c>
      <c r="AE45" s="15"/>
      <c r="AF45" s="32"/>
    </row>
    <row r="46" spans="1:32" ht="15.75" thickBot="1" x14ac:dyDescent="0.3">
      <c r="A46" s="20"/>
      <c r="B46" s="7"/>
      <c r="C46" s="16"/>
      <c r="D46" s="16"/>
      <c r="E46" s="26"/>
      <c r="F46" s="26"/>
      <c r="G46" s="7"/>
      <c r="H46" s="7"/>
      <c r="I46" s="7"/>
      <c r="J46" s="55"/>
      <c r="K46" s="90"/>
      <c r="L46" s="7"/>
      <c r="M46" s="7"/>
      <c r="N46" s="7"/>
      <c r="O46" s="7"/>
      <c r="P46" s="7"/>
      <c r="Q46" s="55"/>
      <c r="R46" s="90"/>
      <c r="S46" s="7"/>
      <c r="T46" s="7"/>
      <c r="U46" s="7"/>
      <c r="V46" s="7"/>
      <c r="W46" s="7"/>
      <c r="X46" s="55"/>
      <c r="Y46" s="90"/>
      <c r="Z46" s="7"/>
      <c r="AA46" s="82"/>
      <c r="AB46" s="82"/>
      <c r="AC46" s="7"/>
      <c r="AD46" s="7"/>
      <c r="AE46" s="55"/>
      <c r="AF46" s="32"/>
    </row>
    <row r="47" spans="1:32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</row>
    <row r="48" spans="1:32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32"/>
    </row>
    <row r="49" spans="1:32" x14ac:dyDescent="0.25">
      <c r="A49" s="19" t="s">
        <v>8</v>
      </c>
      <c r="B49" s="56">
        <v>508</v>
      </c>
      <c r="C49" s="60"/>
      <c r="D49" s="60"/>
      <c r="E49" s="56">
        <v>781</v>
      </c>
      <c r="F49" s="56">
        <v>1211</v>
      </c>
      <c r="G49" s="56">
        <v>1719</v>
      </c>
      <c r="H49" s="56">
        <v>2034</v>
      </c>
      <c r="I49" s="56">
        <v>2169</v>
      </c>
      <c r="J49" s="61"/>
      <c r="K49" s="89"/>
      <c r="L49" s="120">
        <v>2474</v>
      </c>
      <c r="M49" s="120">
        <v>2986</v>
      </c>
      <c r="N49" s="56">
        <v>3285</v>
      </c>
      <c r="O49" s="56">
        <v>3732</v>
      </c>
      <c r="P49" s="56">
        <v>4552</v>
      </c>
      <c r="Q49" s="61"/>
      <c r="R49" s="89"/>
      <c r="S49" s="56">
        <v>5002</v>
      </c>
      <c r="T49" s="56">
        <v>5330</v>
      </c>
      <c r="U49" s="56">
        <v>5650</v>
      </c>
      <c r="V49" s="56">
        <v>6425</v>
      </c>
      <c r="W49" s="56">
        <v>7156</v>
      </c>
      <c r="X49" s="61"/>
      <c r="Y49" s="89"/>
      <c r="Z49" s="56">
        <v>7686</v>
      </c>
      <c r="AA49" s="80">
        <v>8924</v>
      </c>
      <c r="AB49" s="80">
        <v>9625</v>
      </c>
      <c r="AC49" s="56">
        <v>11738</v>
      </c>
      <c r="AD49" s="56">
        <v>12261</v>
      </c>
      <c r="AE49" s="61"/>
      <c r="AF49" s="32"/>
    </row>
    <row r="50" spans="1:32" x14ac:dyDescent="0.25">
      <c r="A50" s="19" t="s">
        <v>1</v>
      </c>
      <c r="B50" s="52">
        <v>515</v>
      </c>
      <c r="C50" s="63"/>
      <c r="D50" s="63"/>
      <c r="E50" s="52">
        <f>B50+515</f>
        <v>1030</v>
      </c>
      <c r="F50" s="52">
        <f>E50+515</f>
        <v>1545</v>
      </c>
      <c r="G50" s="52">
        <f t="shared" ref="G50:I50" si="29">F50+515</f>
        <v>2060</v>
      </c>
      <c r="H50" s="52">
        <f t="shared" si="29"/>
        <v>2575</v>
      </c>
      <c r="I50" s="52">
        <f t="shared" si="29"/>
        <v>3090</v>
      </c>
      <c r="J50" s="64"/>
      <c r="K50" s="85"/>
      <c r="L50" s="71">
        <f>I50+515</f>
        <v>3605</v>
      </c>
      <c r="M50" s="71">
        <f>L50+515</f>
        <v>4120</v>
      </c>
      <c r="N50" s="71">
        <f t="shared" ref="N50:P50" si="30">M50+515</f>
        <v>4635</v>
      </c>
      <c r="O50" s="71">
        <f t="shared" si="30"/>
        <v>5150</v>
      </c>
      <c r="P50" s="71">
        <f t="shared" si="30"/>
        <v>5665</v>
      </c>
      <c r="Q50" s="64"/>
      <c r="R50" s="85"/>
      <c r="S50" s="71">
        <f>P50+515</f>
        <v>6180</v>
      </c>
      <c r="T50" s="71">
        <f>S50+515</f>
        <v>6695</v>
      </c>
      <c r="U50" s="71">
        <f t="shared" ref="U50:W50" si="31">T50+515</f>
        <v>7210</v>
      </c>
      <c r="V50" s="71">
        <f t="shared" si="31"/>
        <v>7725</v>
      </c>
      <c r="W50" s="71">
        <f t="shared" si="31"/>
        <v>8240</v>
      </c>
      <c r="X50" s="64"/>
      <c r="Y50" s="85"/>
      <c r="Z50" s="71">
        <f>W50+515</f>
        <v>8755</v>
      </c>
      <c r="AA50" s="71">
        <f>Z50+515</f>
        <v>9270</v>
      </c>
      <c r="AB50" s="71">
        <f t="shared" ref="AB50:AC50" si="32">AA50+515</f>
        <v>9785</v>
      </c>
      <c r="AC50" s="71">
        <f t="shared" si="32"/>
        <v>10300</v>
      </c>
      <c r="AD50" s="71">
        <f>AC50+515</f>
        <v>10815</v>
      </c>
      <c r="AE50" s="91"/>
      <c r="AF50" s="32"/>
    </row>
    <row r="51" spans="1:32" x14ac:dyDescent="0.25">
      <c r="A51" s="19" t="s">
        <v>2</v>
      </c>
      <c r="B51" s="4">
        <f>B49/B50</f>
        <v>0.98640776699029131</v>
      </c>
      <c r="C51" s="15"/>
      <c r="D51" s="15"/>
      <c r="E51" s="4">
        <f t="shared" ref="E51:AD51" si="33">E49/E50</f>
        <v>0.75825242718446606</v>
      </c>
      <c r="F51" s="4">
        <f t="shared" si="33"/>
        <v>0.78381877022653723</v>
      </c>
      <c r="G51" s="4">
        <f t="shared" si="33"/>
        <v>0.83446601941747578</v>
      </c>
      <c r="H51" s="4">
        <f t="shared" si="33"/>
        <v>0.78990291262135925</v>
      </c>
      <c r="I51" s="4">
        <f t="shared" si="33"/>
        <v>0.70194174757281558</v>
      </c>
      <c r="J51" s="15"/>
      <c r="K51" s="15"/>
      <c r="L51" s="4">
        <f t="shared" si="33"/>
        <v>0.68626907073509014</v>
      </c>
      <c r="M51" s="4">
        <f t="shared" si="33"/>
        <v>0.72475728155339803</v>
      </c>
      <c r="N51" s="4">
        <f t="shared" si="33"/>
        <v>0.70873786407766992</v>
      </c>
      <c r="O51" s="4">
        <f t="shared" si="33"/>
        <v>0.72466019417475724</v>
      </c>
      <c r="P51" s="4">
        <f t="shared" si="33"/>
        <v>0.80353045013239188</v>
      </c>
      <c r="Q51" s="15"/>
      <c r="R51" s="15"/>
      <c r="S51" s="4">
        <f t="shared" si="33"/>
        <v>0.8093851132686084</v>
      </c>
      <c r="T51" s="4">
        <f t="shared" si="33"/>
        <v>0.79611650485436891</v>
      </c>
      <c r="U51" s="4">
        <f t="shared" si="33"/>
        <v>0.78363384188626906</v>
      </c>
      <c r="V51" s="4">
        <f t="shared" si="33"/>
        <v>0.83171521035598706</v>
      </c>
      <c r="W51" s="4">
        <f t="shared" si="33"/>
        <v>0.86844660194174761</v>
      </c>
      <c r="X51" s="15"/>
      <c r="Y51" s="15"/>
      <c r="Z51" s="4">
        <f t="shared" si="33"/>
        <v>0.87789834380354081</v>
      </c>
      <c r="AA51" s="4">
        <f t="shared" si="33"/>
        <v>0.96267529665587914</v>
      </c>
      <c r="AB51" s="4">
        <f t="shared" si="33"/>
        <v>0.98364844149207975</v>
      </c>
      <c r="AC51" s="4">
        <f t="shared" si="33"/>
        <v>1.139611650485437</v>
      </c>
      <c r="AD51" s="4">
        <f t="shared" si="33"/>
        <v>1.1337031900138697</v>
      </c>
      <c r="AE51" s="15"/>
      <c r="AF51" s="32"/>
    </row>
    <row r="52" spans="1:32" ht="15.75" thickBot="1" x14ac:dyDescent="0.3">
      <c r="A52" s="20"/>
      <c r="B52" s="7"/>
      <c r="C52" s="16"/>
      <c r="D52" s="16"/>
      <c r="E52" s="26"/>
      <c r="F52" s="26"/>
      <c r="G52" s="7"/>
      <c r="H52" s="7"/>
      <c r="I52" s="7"/>
      <c r="J52" s="55"/>
      <c r="K52" s="90"/>
      <c r="L52" s="7"/>
      <c r="M52" s="7"/>
      <c r="N52" s="7"/>
      <c r="O52" s="7"/>
      <c r="P52" s="7"/>
      <c r="Q52" s="55"/>
      <c r="R52" s="90"/>
      <c r="S52" s="7"/>
      <c r="T52" s="7"/>
      <c r="U52" s="7"/>
      <c r="V52" s="7"/>
      <c r="W52" s="7"/>
      <c r="X52" s="55"/>
      <c r="Y52" s="90"/>
      <c r="Z52" s="7"/>
      <c r="AA52" s="82"/>
      <c r="AB52" s="82"/>
      <c r="AC52" s="7"/>
      <c r="AD52" s="7"/>
      <c r="AE52" s="55"/>
      <c r="AF52" s="32"/>
    </row>
    <row r="53" spans="1:3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</row>
    <row r="54" spans="1:32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</row>
    <row r="55" spans="1:32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32"/>
    </row>
    <row r="56" spans="1:32" x14ac:dyDescent="0.25">
      <c r="A56" s="19" t="s">
        <v>8</v>
      </c>
      <c r="B56" s="56">
        <v>3166</v>
      </c>
      <c r="C56" s="60"/>
      <c r="D56" s="60"/>
      <c r="E56" s="56">
        <v>5322</v>
      </c>
      <c r="F56" s="56">
        <v>8495</v>
      </c>
      <c r="G56" s="56">
        <v>10409</v>
      </c>
      <c r="H56" s="56">
        <v>11626</v>
      </c>
      <c r="I56" s="56">
        <v>13551</v>
      </c>
      <c r="J56" s="61"/>
      <c r="K56" s="89"/>
      <c r="L56" s="120">
        <v>14424</v>
      </c>
      <c r="M56" s="120">
        <v>17656</v>
      </c>
      <c r="N56" s="56">
        <v>17768</v>
      </c>
      <c r="O56" s="56">
        <v>25216</v>
      </c>
      <c r="P56" s="56">
        <v>26252</v>
      </c>
      <c r="Q56" s="61"/>
      <c r="R56" s="89"/>
      <c r="S56" s="56">
        <v>26511</v>
      </c>
      <c r="T56" s="56">
        <v>29326</v>
      </c>
      <c r="U56" s="56">
        <v>32394</v>
      </c>
      <c r="V56" s="56">
        <v>36135</v>
      </c>
      <c r="W56" s="56">
        <v>38712</v>
      </c>
      <c r="X56" s="61"/>
      <c r="Y56" s="89"/>
      <c r="Z56" s="56">
        <v>42890</v>
      </c>
      <c r="AA56" s="80">
        <v>44788</v>
      </c>
      <c r="AB56" s="80">
        <v>46115</v>
      </c>
      <c r="AC56" s="56">
        <v>47100</v>
      </c>
      <c r="AD56" s="56">
        <v>49322</v>
      </c>
      <c r="AE56" s="61"/>
      <c r="AF56" s="32"/>
    </row>
    <row r="57" spans="1:32" x14ac:dyDescent="0.25">
      <c r="A57" s="19" t="s">
        <v>1</v>
      </c>
      <c r="B57" s="52">
        <v>2004</v>
      </c>
      <c r="C57" s="63"/>
      <c r="D57" s="63"/>
      <c r="E57" s="52">
        <f>B57+2004</f>
        <v>4008</v>
      </c>
      <c r="F57" s="52">
        <f>E57+2004</f>
        <v>6012</v>
      </c>
      <c r="G57" s="52">
        <f t="shared" ref="G57:I57" si="34">F57+2004</f>
        <v>8016</v>
      </c>
      <c r="H57" s="52">
        <f t="shared" si="34"/>
        <v>10020</v>
      </c>
      <c r="I57" s="52">
        <f t="shared" si="34"/>
        <v>12024</v>
      </c>
      <c r="J57" s="64"/>
      <c r="K57" s="85"/>
      <c r="L57" s="71">
        <f>I57+2004</f>
        <v>14028</v>
      </c>
      <c r="M57" s="71">
        <f>L57+2004</f>
        <v>16032</v>
      </c>
      <c r="N57" s="71">
        <f t="shared" ref="N57:P57" si="35">M57+2004</f>
        <v>18036</v>
      </c>
      <c r="O57" s="71">
        <f t="shared" si="35"/>
        <v>20040</v>
      </c>
      <c r="P57" s="71">
        <f t="shared" si="35"/>
        <v>22044</v>
      </c>
      <c r="Q57" s="64"/>
      <c r="R57" s="85"/>
      <c r="S57" s="71">
        <f>P57+2004</f>
        <v>24048</v>
      </c>
      <c r="T57" s="71">
        <f>S57+2004</f>
        <v>26052</v>
      </c>
      <c r="U57" s="71">
        <f t="shared" ref="U57:W57" si="36">T57+2004</f>
        <v>28056</v>
      </c>
      <c r="V57" s="71">
        <f t="shared" si="36"/>
        <v>30060</v>
      </c>
      <c r="W57" s="71">
        <f t="shared" si="36"/>
        <v>32064</v>
      </c>
      <c r="X57" s="64"/>
      <c r="Y57" s="85"/>
      <c r="Z57" s="71">
        <f>W57+2004</f>
        <v>34068</v>
      </c>
      <c r="AA57" s="71">
        <f>Z57+2004</f>
        <v>36072</v>
      </c>
      <c r="AB57" s="71">
        <f t="shared" ref="AB57:AD57" si="37">AA57+2004</f>
        <v>38076</v>
      </c>
      <c r="AC57" s="71">
        <f t="shared" si="37"/>
        <v>40080</v>
      </c>
      <c r="AD57" s="71">
        <f t="shared" si="37"/>
        <v>42084</v>
      </c>
      <c r="AE57" s="91"/>
      <c r="AF57" s="32"/>
    </row>
    <row r="58" spans="1:32" x14ac:dyDescent="0.25">
      <c r="A58" s="19" t="s">
        <v>2</v>
      </c>
      <c r="B58" s="4">
        <f>B56/B57</f>
        <v>1.5798403193612773</v>
      </c>
      <c r="C58" s="15"/>
      <c r="D58" s="15"/>
      <c r="E58" s="4">
        <f t="shared" ref="E58:AD58" si="38">E56/E57</f>
        <v>1.3278443113772456</v>
      </c>
      <c r="F58" s="4">
        <f t="shared" si="38"/>
        <v>1.4130073186959415</v>
      </c>
      <c r="G58" s="4">
        <f t="shared" si="38"/>
        <v>1.2985279441117765</v>
      </c>
      <c r="H58" s="4">
        <f t="shared" si="38"/>
        <v>1.1602794411177644</v>
      </c>
      <c r="I58" s="4">
        <f t="shared" si="38"/>
        <v>1.126996007984032</v>
      </c>
      <c r="J58" s="15"/>
      <c r="K58" s="15"/>
      <c r="L58" s="4">
        <f t="shared" si="38"/>
        <v>1.0282292557741659</v>
      </c>
      <c r="M58" s="4">
        <f t="shared" si="38"/>
        <v>1.1012974051896207</v>
      </c>
      <c r="N58" s="4">
        <f t="shared" si="38"/>
        <v>0.98514082945220671</v>
      </c>
      <c r="O58" s="4">
        <f t="shared" si="38"/>
        <v>1.2582834331337325</v>
      </c>
      <c r="P58" s="4">
        <f t="shared" si="38"/>
        <v>1.1908909453819634</v>
      </c>
      <c r="Q58" s="15"/>
      <c r="R58" s="15"/>
      <c r="S58" s="4">
        <f t="shared" si="38"/>
        <v>1.1024201596806387</v>
      </c>
      <c r="T58" s="4">
        <f t="shared" si="38"/>
        <v>1.1256717334561646</v>
      </c>
      <c r="U58" s="4">
        <f t="shared" si="38"/>
        <v>1.1546193327630454</v>
      </c>
      <c r="V58" s="4">
        <f t="shared" si="38"/>
        <v>1.2020958083832336</v>
      </c>
      <c r="W58" s="4">
        <f t="shared" si="38"/>
        <v>1.2073353293413174</v>
      </c>
      <c r="X58" s="15"/>
      <c r="Y58" s="15"/>
      <c r="Z58" s="4">
        <f t="shared" si="38"/>
        <v>1.258952682869555</v>
      </c>
      <c r="AA58" s="4">
        <f t="shared" si="38"/>
        <v>1.2416278554003104</v>
      </c>
      <c r="AB58" s="4">
        <f t="shared" si="38"/>
        <v>1.2111303708372729</v>
      </c>
      <c r="AC58" s="4">
        <f t="shared" si="38"/>
        <v>1.1751497005988023</v>
      </c>
      <c r="AD58" s="4">
        <f t="shared" si="38"/>
        <v>1.1719893546240852</v>
      </c>
      <c r="AE58" s="15"/>
      <c r="AF58" s="32"/>
    </row>
    <row r="59" spans="1:32" ht="15.75" thickBot="1" x14ac:dyDescent="0.3">
      <c r="A59" s="20"/>
      <c r="B59" s="7"/>
      <c r="C59" s="16"/>
      <c r="D59" s="16"/>
      <c r="E59" s="26"/>
      <c r="F59" s="26"/>
      <c r="G59" s="7"/>
      <c r="H59" s="7"/>
      <c r="I59" s="7"/>
      <c r="J59" s="55"/>
      <c r="K59" s="90"/>
      <c r="L59" s="7"/>
      <c r="M59" s="7"/>
      <c r="N59" s="7"/>
      <c r="O59" s="7"/>
      <c r="P59" s="7"/>
      <c r="Q59" s="55"/>
      <c r="R59" s="90"/>
      <c r="S59" s="7"/>
      <c r="T59" s="7"/>
      <c r="U59" s="7"/>
      <c r="V59" s="7"/>
      <c r="W59" s="7"/>
      <c r="X59" s="55"/>
      <c r="Y59" s="90"/>
      <c r="Z59" s="7"/>
      <c r="AA59" s="82"/>
      <c r="AB59" s="82"/>
      <c r="AC59" s="7"/>
      <c r="AD59" s="7"/>
      <c r="AE59" s="55"/>
      <c r="AF59" s="32"/>
    </row>
    <row r="60" spans="1:32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</row>
    <row r="61" spans="1:32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</row>
    <row r="62" spans="1:32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</row>
    <row r="63" spans="1:32" x14ac:dyDescent="0.25">
      <c r="A63" s="19" t="s">
        <v>8</v>
      </c>
      <c r="B63" s="56">
        <v>1077</v>
      </c>
      <c r="C63" s="60"/>
      <c r="D63" s="60"/>
      <c r="E63" s="56">
        <v>2364</v>
      </c>
      <c r="F63" s="56">
        <v>3101</v>
      </c>
      <c r="G63" s="56">
        <v>3958</v>
      </c>
      <c r="H63" s="56">
        <v>5062</v>
      </c>
      <c r="I63" s="56">
        <v>6278</v>
      </c>
      <c r="J63" s="61"/>
      <c r="K63" s="89"/>
      <c r="L63" s="120">
        <v>6901</v>
      </c>
      <c r="M63" s="120">
        <v>7248</v>
      </c>
      <c r="N63" s="56">
        <v>8367</v>
      </c>
      <c r="O63" s="56">
        <v>9591</v>
      </c>
      <c r="P63" s="56">
        <v>10585</v>
      </c>
      <c r="Q63" s="61"/>
      <c r="R63" s="89"/>
      <c r="S63" s="56">
        <v>11624</v>
      </c>
      <c r="T63" s="56">
        <v>12000</v>
      </c>
      <c r="U63" s="56">
        <v>13261</v>
      </c>
      <c r="V63" s="56">
        <v>15365</v>
      </c>
      <c r="W63" s="56">
        <v>18171</v>
      </c>
      <c r="X63" s="61"/>
      <c r="Y63" s="89"/>
      <c r="Z63" s="56">
        <v>18619</v>
      </c>
      <c r="AA63" s="80">
        <v>19024</v>
      </c>
      <c r="AB63" s="80">
        <v>19803</v>
      </c>
      <c r="AC63" s="56">
        <v>20899</v>
      </c>
      <c r="AD63" s="56">
        <v>21898</v>
      </c>
      <c r="AE63" s="61"/>
    </row>
    <row r="64" spans="1:32" x14ac:dyDescent="0.25">
      <c r="A64" s="19" t="s">
        <v>1</v>
      </c>
      <c r="B64" s="52">
        <v>913</v>
      </c>
      <c r="C64" s="63"/>
      <c r="D64" s="63"/>
      <c r="E64" s="52">
        <f>B64+913</f>
        <v>1826</v>
      </c>
      <c r="F64" s="52">
        <f>E64+913</f>
        <v>2739</v>
      </c>
      <c r="G64" s="52">
        <f t="shared" ref="G64:I64" si="39">F64+913</f>
        <v>3652</v>
      </c>
      <c r="H64" s="52">
        <f t="shared" si="39"/>
        <v>4565</v>
      </c>
      <c r="I64" s="52">
        <f t="shared" si="39"/>
        <v>5478</v>
      </c>
      <c r="J64" s="64"/>
      <c r="K64" s="85"/>
      <c r="L64" s="71">
        <f>I64+913</f>
        <v>6391</v>
      </c>
      <c r="M64" s="71">
        <f>L64+913</f>
        <v>7304</v>
      </c>
      <c r="N64" s="71">
        <f t="shared" ref="N64:P64" si="40">M64+913</f>
        <v>8217</v>
      </c>
      <c r="O64" s="71">
        <f t="shared" si="40"/>
        <v>9130</v>
      </c>
      <c r="P64" s="71">
        <f t="shared" si="40"/>
        <v>10043</v>
      </c>
      <c r="Q64" s="64"/>
      <c r="R64" s="85"/>
      <c r="S64" s="71">
        <f>P64+913</f>
        <v>10956</v>
      </c>
      <c r="T64" s="71">
        <f>S64+913</f>
        <v>11869</v>
      </c>
      <c r="U64" s="71">
        <f t="shared" ref="U64:W64" si="41">T64+913</f>
        <v>12782</v>
      </c>
      <c r="V64" s="71">
        <f t="shared" si="41"/>
        <v>13695</v>
      </c>
      <c r="W64" s="71">
        <f t="shared" si="41"/>
        <v>14608</v>
      </c>
      <c r="X64" s="64"/>
      <c r="Y64" s="85"/>
      <c r="Z64" s="71">
        <f>W64+913</f>
        <v>15521</v>
      </c>
      <c r="AA64" s="71">
        <f>Z64+913</f>
        <v>16434</v>
      </c>
      <c r="AB64" s="71">
        <f t="shared" ref="AB64:AD64" si="42">AA64+913</f>
        <v>17347</v>
      </c>
      <c r="AC64" s="71">
        <f t="shared" si="42"/>
        <v>18260</v>
      </c>
      <c r="AD64" s="71">
        <f t="shared" si="42"/>
        <v>19173</v>
      </c>
      <c r="AE64" s="91"/>
    </row>
    <row r="65" spans="1:31" x14ac:dyDescent="0.25">
      <c r="A65" s="19" t="s">
        <v>2</v>
      </c>
      <c r="B65" s="4">
        <f>B63/B64</f>
        <v>1.1796276013143483</v>
      </c>
      <c r="C65" s="15"/>
      <c r="D65" s="15"/>
      <c r="E65" s="4">
        <f t="shared" ref="E65:AD65" si="43">E63/E64</f>
        <v>1.2946330777656079</v>
      </c>
      <c r="F65" s="4">
        <f t="shared" si="43"/>
        <v>1.1321650237312888</v>
      </c>
      <c r="G65" s="4">
        <f t="shared" si="43"/>
        <v>1.083789704271632</v>
      </c>
      <c r="H65" s="4">
        <f t="shared" si="43"/>
        <v>1.1088718510405258</v>
      </c>
      <c r="I65" s="4">
        <f t="shared" si="43"/>
        <v>1.1460387002555676</v>
      </c>
      <c r="J65" s="15"/>
      <c r="K65" s="15"/>
      <c r="L65" s="4">
        <f t="shared" si="43"/>
        <v>1.0797997183539352</v>
      </c>
      <c r="M65" s="4">
        <f t="shared" si="43"/>
        <v>0.99233296823658268</v>
      </c>
      <c r="N65" s="4">
        <f t="shared" si="43"/>
        <v>1.018254837531946</v>
      </c>
      <c r="O65" s="4">
        <f t="shared" si="43"/>
        <v>1.0504928806133624</v>
      </c>
      <c r="P65" s="4">
        <f t="shared" si="43"/>
        <v>1.0539679378671711</v>
      </c>
      <c r="Q65" s="15"/>
      <c r="R65" s="15"/>
      <c r="S65" s="4">
        <f t="shared" si="43"/>
        <v>1.0609711573566996</v>
      </c>
      <c r="T65" s="4">
        <f t="shared" si="43"/>
        <v>1.0110371556154689</v>
      </c>
      <c r="U65" s="4">
        <f t="shared" si="43"/>
        <v>1.037474573619152</v>
      </c>
      <c r="V65" s="4">
        <f t="shared" si="43"/>
        <v>1.1219423147133991</v>
      </c>
      <c r="W65" s="4">
        <f t="shared" si="43"/>
        <v>1.2439074479737131</v>
      </c>
      <c r="X65" s="15"/>
      <c r="Y65" s="15"/>
      <c r="Z65" s="4">
        <f t="shared" si="43"/>
        <v>1.1996005412022421</v>
      </c>
      <c r="AA65" s="4">
        <f t="shared" si="43"/>
        <v>1.1576000973591336</v>
      </c>
      <c r="AB65" s="4">
        <f t="shared" si="43"/>
        <v>1.1415806767740819</v>
      </c>
      <c r="AC65" s="4">
        <f t="shared" si="43"/>
        <v>1.1445235487404162</v>
      </c>
      <c r="AD65" s="4">
        <f t="shared" si="43"/>
        <v>1.142126949355865</v>
      </c>
      <c r="AE65" s="15"/>
    </row>
    <row r="66" spans="1:31" ht="15.75" thickBot="1" x14ac:dyDescent="0.3">
      <c r="A66" s="20"/>
      <c r="B66" s="7"/>
      <c r="C66" s="16"/>
      <c r="D66" s="16"/>
      <c r="E66" s="26"/>
      <c r="F66" s="26"/>
      <c r="G66" s="7"/>
      <c r="H66" s="7"/>
      <c r="I66" s="7"/>
      <c r="J66" s="55"/>
      <c r="K66" s="90"/>
      <c r="L66" s="7"/>
      <c r="M66" s="7"/>
      <c r="N66" s="7"/>
      <c r="O66" s="7"/>
      <c r="P66" s="7"/>
      <c r="Q66" s="55"/>
      <c r="R66" s="90"/>
      <c r="S66" s="7"/>
      <c r="T66" s="7"/>
      <c r="U66" s="7"/>
      <c r="V66" s="7"/>
      <c r="W66" s="7"/>
      <c r="X66" s="55"/>
      <c r="Y66" s="90"/>
      <c r="Z66" s="7"/>
      <c r="AA66" s="82"/>
      <c r="AB66" s="82"/>
      <c r="AC66" s="7"/>
      <c r="AD66" s="7"/>
      <c r="AE66" s="55"/>
    </row>
    <row r="68" spans="1:31" ht="15.75" thickBot="1" x14ac:dyDescent="0.3"/>
    <row r="69" spans="1:31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</row>
    <row r="70" spans="1:31" x14ac:dyDescent="0.25">
      <c r="A70" s="19" t="s">
        <v>8</v>
      </c>
      <c r="B70" s="56">
        <v>1914</v>
      </c>
      <c r="C70" s="60"/>
      <c r="D70" s="60"/>
      <c r="E70" s="56">
        <v>2724</v>
      </c>
      <c r="F70" s="56">
        <v>3450</v>
      </c>
      <c r="G70" s="56">
        <v>4009</v>
      </c>
      <c r="H70" s="56">
        <v>4681</v>
      </c>
      <c r="I70" s="56">
        <v>5419</v>
      </c>
      <c r="J70" s="61"/>
      <c r="K70" s="89"/>
      <c r="L70" s="120">
        <v>5674</v>
      </c>
      <c r="M70" s="120">
        <v>6186</v>
      </c>
      <c r="N70" s="56">
        <v>6186</v>
      </c>
      <c r="O70" s="56">
        <v>6572</v>
      </c>
      <c r="P70" s="56">
        <v>6571</v>
      </c>
      <c r="Q70" s="61"/>
      <c r="R70" s="89"/>
      <c r="S70" s="56">
        <v>7242</v>
      </c>
      <c r="T70" s="56">
        <v>8650</v>
      </c>
      <c r="U70" s="56">
        <v>9005</v>
      </c>
      <c r="V70" s="56">
        <v>9624</v>
      </c>
      <c r="W70" s="56">
        <v>10871</v>
      </c>
      <c r="X70" s="61"/>
      <c r="Y70" s="89"/>
      <c r="Z70" s="56">
        <v>11522</v>
      </c>
      <c r="AA70" s="80">
        <v>11664</v>
      </c>
      <c r="AB70" s="80">
        <v>12548</v>
      </c>
      <c r="AC70" s="56">
        <v>14076</v>
      </c>
      <c r="AD70" s="56">
        <v>18229</v>
      </c>
      <c r="AE70" s="61"/>
    </row>
    <row r="71" spans="1:31" x14ac:dyDescent="0.25">
      <c r="A71" s="19" t="s">
        <v>1</v>
      </c>
      <c r="B71" s="52">
        <v>861</v>
      </c>
      <c r="C71" s="63"/>
      <c r="D71" s="63"/>
      <c r="E71" s="52">
        <f>B71+861</f>
        <v>1722</v>
      </c>
      <c r="F71" s="52">
        <f>E71+861</f>
        <v>2583</v>
      </c>
      <c r="G71" s="52">
        <f t="shared" ref="G71:I71" si="44">F71+861</f>
        <v>3444</v>
      </c>
      <c r="H71" s="52">
        <f t="shared" si="44"/>
        <v>4305</v>
      </c>
      <c r="I71" s="52">
        <f t="shared" si="44"/>
        <v>5166</v>
      </c>
      <c r="J71" s="64"/>
      <c r="K71" s="85"/>
      <c r="L71" s="71">
        <f>I71+861</f>
        <v>6027</v>
      </c>
      <c r="M71" s="71">
        <f>L71+861</f>
        <v>6888</v>
      </c>
      <c r="N71" s="71">
        <f t="shared" ref="N71:P71" si="45">M71+861</f>
        <v>7749</v>
      </c>
      <c r="O71" s="71">
        <f t="shared" si="45"/>
        <v>8610</v>
      </c>
      <c r="P71" s="71">
        <f t="shared" si="45"/>
        <v>9471</v>
      </c>
      <c r="Q71" s="64"/>
      <c r="R71" s="85"/>
      <c r="S71" s="71">
        <f>P71+861</f>
        <v>10332</v>
      </c>
      <c r="T71" s="71">
        <f>S71+861</f>
        <v>11193</v>
      </c>
      <c r="U71" s="71">
        <f t="shared" ref="U71:W71" si="46">T71+861</f>
        <v>12054</v>
      </c>
      <c r="V71" s="71">
        <f t="shared" si="46"/>
        <v>12915</v>
      </c>
      <c r="W71" s="71">
        <f t="shared" si="46"/>
        <v>13776</v>
      </c>
      <c r="X71" s="64"/>
      <c r="Y71" s="85"/>
      <c r="Z71" s="71">
        <f>W71+861</f>
        <v>14637</v>
      </c>
      <c r="AA71" s="71">
        <f>Z71+861</f>
        <v>15498</v>
      </c>
      <c r="AB71" s="71">
        <f t="shared" ref="AB71:AD71" si="47">AA71+861</f>
        <v>16359</v>
      </c>
      <c r="AC71" s="71">
        <f t="shared" si="47"/>
        <v>17220</v>
      </c>
      <c r="AD71" s="71">
        <f t="shared" si="47"/>
        <v>18081</v>
      </c>
      <c r="AE71" s="91"/>
    </row>
    <row r="72" spans="1:31" x14ac:dyDescent="0.25">
      <c r="A72" s="19" t="s">
        <v>2</v>
      </c>
      <c r="B72" s="4">
        <f>B70/B71</f>
        <v>2.2229965156794425</v>
      </c>
      <c r="C72" s="15"/>
      <c r="D72" s="15"/>
      <c r="E72" s="4">
        <f t="shared" ref="E72:AD72" si="48">E70/E71</f>
        <v>1.5818815331010454</v>
      </c>
      <c r="F72" s="4">
        <f t="shared" si="48"/>
        <v>1.3356562137049941</v>
      </c>
      <c r="G72" s="4">
        <f t="shared" si="48"/>
        <v>1.1640534262485482</v>
      </c>
      <c r="H72" s="4">
        <f t="shared" si="48"/>
        <v>1.0873403019744483</v>
      </c>
      <c r="I72" s="4">
        <f t="shared" si="48"/>
        <v>1.0489740611691831</v>
      </c>
      <c r="J72" s="15"/>
      <c r="K72" s="15"/>
      <c r="L72" s="4">
        <f t="shared" si="48"/>
        <v>0.94143023062883691</v>
      </c>
      <c r="M72" s="4">
        <f t="shared" si="48"/>
        <v>0.8980836236933798</v>
      </c>
      <c r="N72" s="4">
        <f t="shared" si="48"/>
        <v>0.7982965543941154</v>
      </c>
      <c r="O72" s="4">
        <f t="shared" si="48"/>
        <v>0.76329849012775841</v>
      </c>
      <c r="P72" s="4">
        <f t="shared" si="48"/>
        <v>0.69380213282652303</v>
      </c>
      <c r="Q72" s="15"/>
      <c r="R72" s="15"/>
      <c r="S72" s="4">
        <f t="shared" si="48"/>
        <v>0.70092915214866436</v>
      </c>
      <c r="T72" s="4">
        <f t="shared" si="48"/>
        <v>0.77280443134101673</v>
      </c>
      <c r="U72" s="4">
        <f t="shared" si="48"/>
        <v>0.74705491952878711</v>
      </c>
      <c r="V72" s="4">
        <f t="shared" si="48"/>
        <v>0.74518002322880372</v>
      </c>
      <c r="W72" s="4">
        <f t="shared" si="48"/>
        <v>0.78912601626016265</v>
      </c>
      <c r="X72" s="15"/>
      <c r="Y72" s="15"/>
      <c r="Z72" s="4">
        <f t="shared" si="48"/>
        <v>0.7871831659493066</v>
      </c>
      <c r="AA72" s="4">
        <f t="shared" si="48"/>
        <v>0.7526132404181185</v>
      </c>
      <c r="AB72" s="4">
        <f t="shared" si="48"/>
        <v>0.76703955009474911</v>
      </c>
      <c r="AC72" s="4">
        <f t="shared" si="48"/>
        <v>0.81742160278745646</v>
      </c>
      <c r="AD72" s="4">
        <f t="shared" si="48"/>
        <v>1.0081853879763287</v>
      </c>
      <c r="AE72" s="15"/>
    </row>
    <row r="73" spans="1:31" ht="15.75" thickBot="1" x14ac:dyDescent="0.3">
      <c r="A73" s="20"/>
      <c r="B73" s="7"/>
      <c r="C73" s="16"/>
      <c r="D73" s="16"/>
      <c r="E73" s="26"/>
      <c r="F73" s="26"/>
      <c r="G73" s="7"/>
      <c r="H73" s="7"/>
      <c r="I73" s="7"/>
      <c r="J73" s="55"/>
      <c r="K73" s="90"/>
      <c r="L73" s="7"/>
      <c r="M73" s="7"/>
      <c r="N73" s="7"/>
      <c r="O73" s="7"/>
      <c r="P73" s="7"/>
      <c r="Q73" s="55"/>
      <c r="R73" s="90"/>
      <c r="S73" s="7"/>
      <c r="T73" s="7"/>
      <c r="U73" s="7"/>
      <c r="V73" s="7"/>
      <c r="W73" s="7"/>
      <c r="X73" s="55"/>
      <c r="Y73" s="90"/>
      <c r="Z73" s="7"/>
      <c r="AA73" s="82"/>
      <c r="AB73" s="82"/>
      <c r="AC73" s="7"/>
      <c r="AD73" s="7"/>
      <c r="AE73" s="55"/>
    </row>
  </sheetData>
  <mergeCells count="1">
    <mergeCell ref="C1:W1"/>
  </mergeCells>
  <phoneticPr fontId="17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73"/>
  <sheetViews>
    <sheetView zoomScale="70" zoomScaleNormal="70" workbookViewId="0">
      <selection activeCell="AF21" sqref="AF21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30" width="8.7109375" customWidth="1"/>
    <col min="31" max="31" width="10.140625" bestFit="1" customWidth="1"/>
    <col min="32" max="32" width="10.7109375" bestFit="1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/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  <c r="AH4">
        <f>22</f>
        <v>22</v>
      </c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60"/>
      <c r="C8" s="56">
        <v>3291</v>
      </c>
      <c r="D8" s="56">
        <v>6483</v>
      </c>
      <c r="E8" s="56">
        <v>11759</v>
      </c>
      <c r="F8" s="56">
        <v>20737</v>
      </c>
      <c r="G8" s="56">
        <v>26317</v>
      </c>
      <c r="H8" s="60"/>
      <c r="I8" s="60"/>
      <c r="J8" s="68">
        <v>33783</v>
      </c>
      <c r="K8" s="69">
        <v>38737</v>
      </c>
      <c r="L8" s="56">
        <v>44207</v>
      </c>
      <c r="M8" s="56">
        <v>48345</v>
      </c>
      <c r="N8" s="56">
        <v>54033</v>
      </c>
      <c r="O8" s="60"/>
      <c r="P8" s="60"/>
      <c r="Q8" s="68">
        <v>56960</v>
      </c>
      <c r="R8" s="69">
        <v>64080</v>
      </c>
      <c r="S8" s="56">
        <v>68379</v>
      </c>
      <c r="T8" s="56">
        <v>74928</v>
      </c>
      <c r="U8" s="56">
        <v>81933</v>
      </c>
      <c r="V8" s="60"/>
      <c r="W8" s="60"/>
      <c r="X8" s="68">
        <v>87461</v>
      </c>
      <c r="Y8" s="69">
        <v>93439</v>
      </c>
      <c r="Z8" s="56">
        <v>100262</v>
      </c>
      <c r="AA8" s="80">
        <v>106786</v>
      </c>
      <c r="AB8" s="80">
        <v>112619</v>
      </c>
      <c r="AC8" s="60"/>
      <c r="AD8" s="60"/>
      <c r="AE8" s="68">
        <v>117198</v>
      </c>
      <c r="AF8" s="69">
        <v>128916</v>
      </c>
      <c r="AG8" s="58"/>
      <c r="AH8" s="2"/>
      <c r="AI8" s="2"/>
      <c r="AJ8" s="2"/>
      <c r="AK8" s="10"/>
    </row>
    <row r="9" spans="1:37" x14ac:dyDescent="0.25">
      <c r="A9" s="19" t="s">
        <v>1</v>
      </c>
      <c r="B9" s="63"/>
      <c r="C9" s="52">
        <v>5856</v>
      </c>
      <c r="D9" s="52">
        <f>C9+5856</f>
        <v>11712</v>
      </c>
      <c r="E9" s="52">
        <f t="shared" ref="E9:G9" si="0">D9+5856</f>
        <v>17568</v>
      </c>
      <c r="F9" s="52">
        <f t="shared" si="0"/>
        <v>23424</v>
      </c>
      <c r="G9" s="52">
        <f t="shared" si="0"/>
        <v>29280</v>
      </c>
      <c r="H9" s="63"/>
      <c r="I9" s="63"/>
      <c r="J9" s="70">
        <f>G9+5856</f>
        <v>35136</v>
      </c>
      <c r="K9" s="71">
        <f>J9+5856</f>
        <v>40992</v>
      </c>
      <c r="L9" s="71">
        <f t="shared" ref="L9:N9" si="1">K9+5856</f>
        <v>46848</v>
      </c>
      <c r="M9" s="71">
        <f t="shared" si="1"/>
        <v>52704</v>
      </c>
      <c r="N9" s="71">
        <f t="shared" si="1"/>
        <v>58560</v>
      </c>
      <c r="O9" s="63"/>
      <c r="P9" s="63"/>
      <c r="Q9" s="70">
        <f>N9+5856</f>
        <v>64416</v>
      </c>
      <c r="R9" s="71">
        <f>Q9+5856</f>
        <v>70272</v>
      </c>
      <c r="S9" s="71">
        <f t="shared" ref="S9:T9" si="2">R9+5856</f>
        <v>76128</v>
      </c>
      <c r="T9" s="71">
        <f t="shared" si="2"/>
        <v>81984</v>
      </c>
      <c r="U9" s="71">
        <f>T9+5856</f>
        <v>87840</v>
      </c>
      <c r="V9" s="63"/>
      <c r="W9" s="63"/>
      <c r="X9" s="70">
        <f>U9+5856</f>
        <v>93696</v>
      </c>
      <c r="Y9" s="71">
        <f>X9+5856</f>
        <v>99552</v>
      </c>
      <c r="Z9" s="71">
        <f t="shared" ref="Z9:AB9" si="3">Y9+5856</f>
        <v>105408</v>
      </c>
      <c r="AA9" s="71">
        <f t="shared" si="3"/>
        <v>111264</v>
      </c>
      <c r="AB9" s="71">
        <f t="shared" si="3"/>
        <v>117120</v>
      </c>
      <c r="AC9" s="63"/>
      <c r="AD9" s="63"/>
      <c r="AE9" s="83">
        <f>AB9+5856</f>
        <v>122976</v>
      </c>
      <c r="AF9" s="81">
        <f>AE9+5856</f>
        <v>128832</v>
      </c>
      <c r="AG9" s="58"/>
      <c r="AH9" s="2"/>
      <c r="AI9" s="2"/>
      <c r="AJ9" s="2"/>
      <c r="AK9" s="2"/>
    </row>
    <row r="10" spans="1:37" x14ac:dyDescent="0.25">
      <c r="A10" s="19" t="s">
        <v>2</v>
      </c>
      <c r="B10" s="15"/>
      <c r="C10" s="4">
        <f>C8/C9</f>
        <v>0.56198770491803274</v>
      </c>
      <c r="D10" s="4">
        <f t="shared" ref="D10:AF10" si="4">D8/D9</f>
        <v>0.55353483606557374</v>
      </c>
      <c r="E10" s="4">
        <f t="shared" si="4"/>
        <v>0.66934198542805101</v>
      </c>
      <c r="F10" s="4">
        <f t="shared" si="4"/>
        <v>0.8852885928961749</v>
      </c>
      <c r="G10" s="4">
        <f t="shared" si="4"/>
        <v>0.89880464480874311</v>
      </c>
      <c r="H10" s="15"/>
      <c r="I10" s="15"/>
      <c r="J10" s="4">
        <f t="shared" si="4"/>
        <v>0.9614924863387978</v>
      </c>
      <c r="K10" s="4">
        <f t="shared" si="4"/>
        <v>0.94498926619828261</v>
      </c>
      <c r="L10" s="4">
        <f t="shared" si="4"/>
        <v>0.94362619535519121</v>
      </c>
      <c r="M10" s="4">
        <f t="shared" si="4"/>
        <v>0.91729280510018218</v>
      </c>
      <c r="N10" s="4">
        <f t="shared" si="4"/>
        <v>0.92269467213114753</v>
      </c>
      <c r="O10" s="15"/>
      <c r="P10" s="15"/>
      <c r="Q10" s="4">
        <f t="shared" si="4"/>
        <v>0.88425235966219573</v>
      </c>
      <c r="R10" s="4">
        <f t="shared" si="4"/>
        <v>0.91188524590163933</v>
      </c>
      <c r="S10" s="4">
        <f t="shared" si="4"/>
        <v>0.89821090794451452</v>
      </c>
      <c r="T10" s="4">
        <f t="shared" si="4"/>
        <v>0.91393442622950816</v>
      </c>
      <c r="U10" s="4">
        <f t="shared" si="4"/>
        <v>0.9327527322404372</v>
      </c>
      <c r="V10" s="15"/>
      <c r="W10" s="15"/>
      <c r="X10" s="4">
        <f t="shared" si="4"/>
        <v>0.93345500341530052</v>
      </c>
      <c r="Y10" s="4">
        <f t="shared" si="4"/>
        <v>0.93859490517518485</v>
      </c>
      <c r="Z10" s="4">
        <f t="shared" si="4"/>
        <v>0.9511801760777171</v>
      </c>
      <c r="AA10" s="4">
        <f t="shared" ref="AA10" si="5">AA8/AA9</f>
        <v>0.95975337935001437</v>
      </c>
      <c r="AB10" s="4">
        <f t="shared" ref="AB10" si="6">AB8/AB9</f>
        <v>0.96156933060109284</v>
      </c>
      <c r="AC10" s="15"/>
      <c r="AD10" s="15"/>
      <c r="AE10" s="4">
        <f t="shared" si="4"/>
        <v>0.95301522248243564</v>
      </c>
      <c r="AF10" s="4">
        <f t="shared" si="4"/>
        <v>1.0006520119225037</v>
      </c>
      <c r="AG10" s="11"/>
      <c r="AH10" s="11"/>
      <c r="AI10" s="11"/>
      <c r="AJ10" s="11"/>
      <c r="AK10" s="11"/>
    </row>
    <row r="11" spans="1:37" ht="15.75" thickBot="1" x14ac:dyDescent="0.3">
      <c r="A11" s="20"/>
      <c r="B11" s="16"/>
      <c r="C11" s="7"/>
      <c r="D11" s="7"/>
      <c r="E11" s="26"/>
      <c r="F11" s="26"/>
      <c r="G11" s="7"/>
      <c r="H11" s="16"/>
      <c r="I11" s="16"/>
      <c r="J11" s="72"/>
      <c r="K11" s="73"/>
      <c r="L11" s="7"/>
      <c r="M11" s="7"/>
      <c r="N11" s="7"/>
      <c r="O11" s="16"/>
      <c r="P11" s="16"/>
      <c r="Q11" s="72"/>
      <c r="R11" s="73"/>
      <c r="S11" s="7"/>
      <c r="T11" s="7"/>
      <c r="U11" s="7"/>
      <c r="V11" s="16"/>
      <c r="W11" s="16"/>
      <c r="X11" s="72"/>
      <c r="Y11" s="73"/>
      <c r="Z11" s="7"/>
      <c r="AA11" s="82"/>
      <c r="AB11" s="82"/>
      <c r="AC11" s="16"/>
      <c r="AD11" s="16"/>
      <c r="AE11" s="72"/>
      <c r="AF11" s="73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60"/>
      <c r="C15" s="56">
        <v>506</v>
      </c>
      <c r="D15" s="56">
        <v>1654</v>
      </c>
      <c r="E15" s="56">
        <v>1904</v>
      </c>
      <c r="F15" s="56">
        <v>2122</v>
      </c>
      <c r="G15" s="56">
        <v>3122</v>
      </c>
      <c r="H15" s="60"/>
      <c r="I15" s="60"/>
      <c r="J15" s="68">
        <v>3122</v>
      </c>
      <c r="K15" s="69">
        <v>3714</v>
      </c>
      <c r="L15" s="56">
        <v>4298</v>
      </c>
      <c r="M15" s="56">
        <v>4477</v>
      </c>
      <c r="N15" s="56">
        <v>4976</v>
      </c>
      <c r="O15" s="60"/>
      <c r="P15" s="60"/>
      <c r="Q15" s="68">
        <v>5152</v>
      </c>
      <c r="R15" s="69">
        <v>6999</v>
      </c>
      <c r="S15" s="56">
        <v>7184</v>
      </c>
      <c r="T15" s="56">
        <v>7272</v>
      </c>
      <c r="U15" s="56">
        <v>8015</v>
      </c>
      <c r="V15" s="60"/>
      <c r="W15" s="60"/>
      <c r="X15" s="68">
        <v>8331</v>
      </c>
      <c r="Y15" s="69">
        <v>8918</v>
      </c>
      <c r="Z15" s="56">
        <v>8918</v>
      </c>
      <c r="AA15" s="80">
        <v>9391</v>
      </c>
      <c r="AB15" s="80">
        <v>10149</v>
      </c>
      <c r="AC15" s="60"/>
      <c r="AD15" s="60"/>
      <c r="AE15" s="68">
        <v>10696</v>
      </c>
      <c r="AF15" s="69">
        <v>11145</v>
      </c>
      <c r="AG15" s="32"/>
    </row>
    <row r="16" spans="1:37" x14ac:dyDescent="0.25">
      <c r="A16" s="19" t="s">
        <v>1</v>
      </c>
      <c r="B16" s="63"/>
      <c r="C16" s="52">
        <v>792</v>
      </c>
      <c r="D16" s="52">
        <f>C16+792</f>
        <v>1584</v>
      </c>
      <c r="E16" s="52">
        <f t="shared" ref="E16:G16" si="7">D16+792</f>
        <v>2376</v>
      </c>
      <c r="F16" s="52">
        <f t="shared" si="7"/>
        <v>3168</v>
      </c>
      <c r="G16" s="52">
        <f t="shared" si="7"/>
        <v>3960</v>
      </c>
      <c r="H16" s="63"/>
      <c r="I16" s="63"/>
      <c r="J16" s="70">
        <f>G16+792</f>
        <v>4752</v>
      </c>
      <c r="K16" s="71">
        <f>J16+792</f>
        <v>5544</v>
      </c>
      <c r="L16" s="71">
        <f t="shared" ref="L16:N16" si="8">K16+792</f>
        <v>6336</v>
      </c>
      <c r="M16" s="71">
        <f t="shared" si="8"/>
        <v>7128</v>
      </c>
      <c r="N16" s="71">
        <f t="shared" si="8"/>
        <v>7920</v>
      </c>
      <c r="O16" s="63"/>
      <c r="P16" s="63"/>
      <c r="Q16" s="70">
        <f>N16+792</f>
        <v>8712</v>
      </c>
      <c r="R16" s="71">
        <f>Q16+792</f>
        <v>9504</v>
      </c>
      <c r="S16" s="71">
        <f t="shared" ref="S16:U16" si="9">R16+792</f>
        <v>10296</v>
      </c>
      <c r="T16" s="71">
        <f t="shared" si="9"/>
        <v>11088</v>
      </c>
      <c r="U16" s="71">
        <f t="shared" si="9"/>
        <v>11880</v>
      </c>
      <c r="V16" s="63"/>
      <c r="W16" s="63"/>
      <c r="X16" s="70">
        <f>U16+792</f>
        <v>12672</v>
      </c>
      <c r="Y16" s="71">
        <f>X16+792</f>
        <v>13464</v>
      </c>
      <c r="Z16" s="71">
        <f t="shared" ref="Z16:AB16" si="10">Y16+792</f>
        <v>14256</v>
      </c>
      <c r="AA16" s="71">
        <f t="shared" si="10"/>
        <v>15048</v>
      </c>
      <c r="AB16" s="71">
        <f t="shared" si="10"/>
        <v>15840</v>
      </c>
      <c r="AC16" s="63"/>
      <c r="AD16" s="63"/>
      <c r="AE16" s="83">
        <f>AB16+792</f>
        <v>16632</v>
      </c>
      <c r="AF16" s="81">
        <f>AE16+792</f>
        <v>17424</v>
      </c>
      <c r="AG16" s="32"/>
    </row>
    <row r="17" spans="1:33" x14ac:dyDescent="0.25">
      <c r="A17" s="19" t="s">
        <v>2</v>
      </c>
      <c r="B17" s="15"/>
      <c r="C17" s="4">
        <f>C15/C16</f>
        <v>0.63888888888888884</v>
      </c>
      <c r="D17" s="4">
        <f t="shared" ref="D17:AF17" si="11">D15/D16</f>
        <v>1.0441919191919191</v>
      </c>
      <c r="E17" s="4">
        <f t="shared" si="11"/>
        <v>0.80134680134680136</v>
      </c>
      <c r="F17" s="4">
        <f t="shared" si="11"/>
        <v>0.66982323232323238</v>
      </c>
      <c r="G17" s="4">
        <f t="shared" si="11"/>
        <v>0.78838383838383841</v>
      </c>
      <c r="H17" s="15"/>
      <c r="I17" s="15"/>
      <c r="J17" s="4">
        <f t="shared" si="11"/>
        <v>0.65698653198653201</v>
      </c>
      <c r="K17" s="4">
        <f t="shared" si="11"/>
        <v>0.66991341991341991</v>
      </c>
      <c r="L17" s="4">
        <f t="shared" si="11"/>
        <v>0.67834595959595956</v>
      </c>
      <c r="M17" s="4">
        <f t="shared" si="11"/>
        <v>0.62808641975308643</v>
      </c>
      <c r="N17" s="4">
        <f t="shared" si="11"/>
        <v>0.62828282828282833</v>
      </c>
      <c r="O17" s="15"/>
      <c r="P17" s="15"/>
      <c r="Q17" s="4">
        <f t="shared" si="11"/>
        <v>0.59136822773186415</v>
      </c>
      <c r="R17" s="4">
        <f t="shared" si="11"/>
        <v>0.73642676767676762</v>
      </c>
      <c r="S17" s="4">
        <f t="shared" si="11"/>
        <v>0.69774669774669773</v>
      </c>
      <c r="T17" s="4">
        <f t="shared" si="11"/>
        <v>0.6558441558441559</v>
      </c>
      <c r="U17" s="4">
        <f t="shared" si="11"/>
        <v>0.67466329966329963</v>
      </c>
      <c r="V17" s="15"/>
      <c r="W17" s="15"/>
      <c r="X17" s="4">
        <f t="shared" si="11"/>
        <v>0.65743371212121215</v>
      </c>
      <c r="Y17" s="4">
        <f t="shared" si="11"/>
        <v>0.6623588829471182</v>
      </c>
      <c r="Z17" s="4">
        <f t="shared" si="11"/>
        <v>0.62556116722783395</v>
      </c>
      <c r="AA17" s="4">
        <f t="shared" si="11"/>
        <v>0.62406964380648589</v>
      </c>
      <c r="AB17" s="4">
        <f t="shared" si="11"/>
        <v>0.64071969696969699</v>
      </c>
      <c r="AC17" s="15"/>
      <c r="AD17" s="15"/>
      <c r="AE17" s="4">
        <f t="shared" si="11"/>
        <v>0.64309764309764306</v>
      </c>
      <c r="AF17" s="4">
        <f t="shared" si="11"/>
        <v>0.63963498622589532</v>
      </c>
      <c r="AG17" s="32"/>
    </row>
    <row r="18" spans="1:33" ht="15.75" thickBot="1" x14ac:dyDescent="0.3">
      <c r="A18" s="20"/>
      <c r="B18" s="16"/>
      <c r="C18" s="7"/>
      <c r="D18" s="7"/>
      <c r="E18" s="26"/>
      <c r="F18" s="26"/>
      <c r="G18" s="7"/>
      <c r="H18" s="16"/>
      <c r="I18" s="16"/>
      <c r="J18" s="72"/>
      <c r="K18" s="73"/>
      <c r="L18" s="7"/>
      <c r="M18" s="7"/>
      <c r="N18" s="7"/>
      <c r="O18" s="16"/>
      <c r="P18" s="16"/>
      <c r="Q18" s="72"/>
      <c r="R18" s="73"/>
      <c r="S18" s="7"/>
      <c r="T18" s="7"/>
      <c r="U18" s="7"/>
      <c r="V18" s="16"/>
      <c r="W18" s="16"/>
      <c r="X18" s="72"/>
      <c r="Y18" s="73"/>
      <c r="Z18" s="7"/>
      <c r="AA18" s="82"/>
      <c r="AB18" s="82"/>
      <c r="AC18" s="16"/>
      <c r="AD18" s="16"/>
      <c r="AE18" s="72"/>
      <c r="AF18" s="73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</row>
    <row r="22" spans="1:33" x14ac:dyDescent="0.25">
      <c r="A22" s="19" t="s">
        <v>8</v>
      </c>
      <c r="B22" s="60"/>
      <c r="C22" s="56">
        <v>388</v>
      </c>
      <c r="D22" s="56">
        <v>2083</v>
      </c>
      <c r="E22" s="56">
        <v>2851</v>
      </c>
      <c r="F22" s="56">
        <v>3674</v>
      </c>
      <c r="G22" s="56">
        <v>6293</v>
      </c>
      <c r="H22" s="60"/>
      <c r="I22" s="60"/>
      <c r="J22" s="68">
        <v>12307</v>
      </c>
      <c r="K22" s="69">
        <v>14437</v>
      </c>
      <c r="L22" s="56">
        <v>16383</v>
      </c>
      <c r="M22" s="56">
        <v>20077</v>
      </c>
      <c r="N22" s="56">
        <v>20077</v>
      </c>
      <c r="O22" s="60"/>
      <c r="P22" s="60"/>
      <c r="Q22" s="68">
        <v>22289</v>
      </c>
      <c r="R22" s="69">
        <v>25449</v>
      </c>
      <c r="S22" s="56">
        <v>27124</v>
      </c>
      <c r="T22" s="56">
        <v>31135</v>
      </c>
      <c r="U22" s="56">
        <v>32787</v>
      </c>
      <c r="V22" s="60"/>
      <c r="W22" s="60"/>
      <c r="X22" s="68">
        <v>35506</v>
      </c>
      <c r="Y22" s="69">
        <v>37236</v>
      </c>
      <c r="Z22" s="56">
        <v>39307</v>
      </c>
      <c r="AA22" s="80">
        <v>43234</v>
      </c>
      <c r="AB22" s="80">
        <v>46851</v>
      </c>
      <c r="AC22" s="60"/>
      <c r="AD22" s="60"/>
      <c r="AE22" s="68">
        <v>47920</v>
      </c>
      <c r="AF22" s="69">
        <v>50840</v>
      </c>
      <c r="AG22" s="32"/>
    </row>
    <row r="23" spans="1:33" x14ac:dyDescent="0.25">
      <c r="A23" s="19" t="s">
        <v>1</v>
      </c>
      <c r="B23" s="63"/>
      <c r="C23" s="52">
        <v>2877</v>
      </c>
      <c r="D23" s="52">
        <f>C23+2877</f>
        <v>5754</v>
      </c>
      <c r="E23" s="52">
        <f t="shared" ref="E23:G23" si="12">D23+2877</f>
        <v>8631</v>
      </c>
      <c r="F23" s="52">
        <f t="shared" si="12"/>
        <v>11508</v>
      </c>
      <c r="G23" s="52">
        <f t="shared" si="12"/>
        <v>14385</v>
      </c>
      <c r="H23" s="63"/>
      <c r="I23" s="63"/>
      <c r="J23" s="70">
        <f>G23+2877</f>
        <v>17262</v>
      </c>
      <c r="K23" s="71">
        <f>J23+2877</f>
        <v>20139</v>
      </c>
      <c r="L23" s="71">
        <f t="shared" ref="L23:N23" si="13">K23+2877</f>
        <v>23016</v>
      </c>
      <c r="M23" s="71">
        <f t="shared" si="13"/>
        <v>25893</v>
      </c>
      <c r="N23" s="71">
        <f t="shared" si="13"/>
        <v>28770</v>
      </c>
      <c r="O23" s="63"/>
      <c r="P23" s="63"/>
      <c r="Q23" s="70">
        <f>N23+2877</f>
        <v>31647</v>
      </c>
      <c r="R23" s="71">
        <f>Q23+2877</f>
        <v>34524</v>
      </c>
      <c r="S23" s="71">
        <f t="shared" ref="S23:U23" si="14">R23+2877</f>
        <v>37401</v>
      </c>
      <c r="T23" s="71">
        <f t="shared" si="14"/>
        <v>40278</v>
      </c>
      <c r="U23" s="71">
        <f t="shared" si="14"/>
        <v>43155</v>
      </c>
      <c r="V23" s="63"/>
      <c r="W23" s="63"/>
      <c r="X23" s="70">
        <f>U23+2877</f>
        <v>46032</v>
      </c>
      <c r="Y23" s="71">
        <f>X23+2877</f>
        <v>48909</v>
      </c>
      <c r="Z23" s="71">
        <f t="shared" ref="Z23:AB23" si="15">Y23+2877</f>
        <v>51786</v>
      </c>
      <c r="AA23" s="71">
        <f t="shared" si="15"/>
        <v>54663</v>
      </c>
      <c r="AB23" s="71">
        <f t="shared" si="15"/>
        <v>57540</v>
      </c>
      <c r="AC23" s="63"/>
      <c r="AD23" s="63"/>
      <c r="AE23" s="83">
        <f>AB23+2877</f>
        <v>60417</v>
      </c>
      <c r="AF23" s="81">
        <f>AE23+2877</f>
        <v>63294</v>
      </c>
      <c r="AG23" s="32"/>
    </row>
    <row r="24" spans="1:33" x14ac:dyDescent="0.25">
      <c r="A24" s="19" t="s">
        <v>2</v>
      </c>
      <c r="B24" s="15"/>
      <c r="C24" s="4">
        <f>C22/C23</f>
        <v>0.1348627042057699</v>
      </c>
      <c r="D24" s="4">
        <f t="shared" ref="D24:AF24" si="16">D22/D23</f>
        <v>0.36200903719151895</v>
      </c>
      <c r="E24" s="4">
        <f t="shared" si="16"/>
        <v>0.33032093616035224</v>
      </c>
      <c r="F24" s="4">
        <f t="shared" si="16"/>
        <v>0.31925616962113312</v>
      </c>
      <c r="G24" s="4">
        <f t="shared" si="16"/>
        <v>0.43746958637469585</v>
      </c>
      <c r="H24" s="15"/>
      <c r="I24" s="15"/>
      <c r="J24" s="4">
        <f t="shared" si="16"/>
        <v>0.71295330784381883</v>
      </c>
      <c r="K24" s="4">
        <f t="shared" si="16"/>
        <v>0.71686776900541238</v>
      </c>
      <c r="L24" s="4">
        <f t="shared" si="16"/>
        <v>0.71180917622523465</v>
      </c>
      <c r="M24" s="4">
        <f t="shared" si="16"/>
        <v>0.77538330823002355</v>
      </c>
      <c r="N24" s="4">
        <f t="shared" si="16"/>
        <v>0.69784497740702123</v>
      </c>
      <c r="O24" s="15"/>
      <c r="P24" s="15"/>
      <c r="Q24" s="4">
        <f t="shared" si="16"/>
        <v>0.70430056561443422</v>
      </c>
      <c r="R24" s="4">
        <f t="shared" si="16"/>
        <v>0.73713938129996526</v>
      </c>
      <c r="S24" s="4">
        <f t="shared" si="16"/>
        <v>0.72522125076869604</v>
      </c>
      <c r="T24" s="4">
        <f t="shared" si="16"/>
        <v>0.77300263170961814</v>
      </c>
      <c r="U24" s="4">
        <f t="shared" si="16"/>
        <v>0.75974973931178313</v>
      </c>
      <c r="V24" s="15"/>
      <c r="W24" s="15"/>
      <c r="X24" s="4">
        <f t="shared" si="16"/>
        <v>0.77133298574904419</v>
      </c>
      <c r="Y24" s="4">
        <f t="shared" si="16"/>
        <v>0.76133227013433113</v>
      </c>
      <c r="Z24" s="4">
        <f t="shared" si="16"/>
        <v>0.75902753639979914</v>
      </c>
      <c r="AA24" s="4">
        <f t="shared" si="16"/>
        <v>0.79091890309715895</v>
      </c>
      <c r="AB24" s="4">
        <f t="shared" si="16"/>
        <v>0.81423357664233575</v>
      </c>
      <c r="AC24" s="15"/>
      <c r="AD24" s="15"/>
      <c r="AE24" s="4">
        <f t="shared" si="16"/>
        <v>0.7931542446662363</v>
      </c>
      <c r="AF24" s="4">
        <f t="shared" si="16"/>
        <v>0.80323569374664261</v>
      </c>
      <c r="AG24" s="32"/>
    </row>
    <row r="25" spans="1:33" ht="15.75" thickBot="1" x14ac:dyDescent="0.3">
      <c r="A25" s="20"/>
      <c r="B25" s="16"/>
      <c r="C25" s="7"/>
      <c r="D25" s="7"/>
      <c r="E25" s="26"/>
      <c r="F25" s="26"/>
      <c r="G25" s="7"/>
      <c r="H25" s="16"/>
      <c r="I25" s="16"/>
      <c r="J25" s="72"/>
      <c r="K25" s="73"/>
      <c r="L25" s="7"/>
      <c r="M25" s="7"/>
      <c r="N25" s="7"/>
      <c r="O25" s="16"/>
      <c r="P25" s="16"/>
      <c r="Q25" s="72"/>
      <c r="R25" s="73"/>
      <c r="S25" s="7"/>
      <c r="T25" s="7"/>
      <c r="U25" s="7"/>
      <c r="V25" s="16"/>
      <c r="W25" s="16"/>
      <c r="X25" s="72"/>
      <c r="Y25" s="73"/>
      <c r="Z25" s="7"/>
      <c r="AA25" s="82"/>
      <c r="AB25" s="82"/>
      <c r="AC25" s="16"/>
      <c r="AD25" s="16"/>
      <c r="AE25" s="72"/>
      <c r="AF25" s="73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3" x14ac:dyDescent="0.25">
      <c r="A29" s="19" t="s">
        <v>8</v>
      </c>
      <c r="B29" s="60"/>
      <c r="C29" s="56">
        <v>757</v>
      </c>
      <c r="D29" s="56">
        <v>1515</v>
      </c>
      <c r="E29" s="56">
        <v>3515</v>
      </c>
      <c r="F29" s="56">
        <v>3939</v>
      </c>
      <c r="G29" s="56">
        <v>5741</v>
      </c>
      <c r="H29" s="60"/>
      <c r="I29" s="60"/>
      <c r="J29" s="68">
        <v>6215</v>
      </c>
      <c r="K29" s="69">
        <v>6669</v>
      </c>
      <c r="L29" s="56">
        <v>8418</v>
      </c>
      <c r="M29" s="56">
        <v>10155</v>
      </c>
      <c r="N29" s="56">
        <v>11631</v>
      </c>
      <c r="O29" s="60"/>
      <c r="P29" s="60"/>
      <c r="Q29" s="68">
        <v>12914</v>
      </c>
      <c r="R29" s="69">
        <v>14137</v>
      </c>
      <c r="S29" s="56">
        <v>14748</v>
      </c>
      <c r="T29" s="56">
        <v>17581</v>
      </c>
      <c r="U29" s="56">
        <v>19407</v>
      </c>
      <c r="V29" s="60"/>
      <c r="W29" s="60"/>
      <c r="X29" s="68">
        <v>20417</v>
      </c>
      <c r="Y29" s="69">
        <v>22553</v>
      </c>
      <c r="Z29" s="56">
        <v>22890</v>
      </c>
      <c r="AA29" s="80">
        <v>24264</v>
      </c>
      <c r="AB29" s="80">
        <v>25043</v>
      </c>
      <c r="AC29" s="60"/>
      <c r="AD29" s="60"/>
      <c r="AE29" s="68">
        <v>25450</v>
      </c>
      <c r="AF29" s="69">
        <v>26049</v>
      </c>
      <c r="AG29" s="32"/>
    </row>
    <row r="30" spans="1:33" x14ac:dyDescent="0.25">
      <c r="A30" s="19" t="s">
        <v>1</v>
      </c>
      <c r="B30" s="63"/>
      <c r="C30" s="52">
        <v>1770</v>
      </c>
      <c r="D30" s="52">
        <f>C30+1770</f>
        <v>3540</v>
      </c>
      <c r="E30" s="52">
        <f t="shared" ref="E30:G30" si="17">D30+1770</f>
        <v>5310</v>
      </c>
      <c r="F30" s="52">
        <f t="shared" si="17"/>
        <v>7080</v>
      </c>
      <c r="G30" s="52">
        <f t="shared" si="17"/>
        <v>8850</v>
      </c>
      <c r="H30" s="63"/>
      <c r="I30" s="63"/>
      <c r="J30" s="70">
        <f>G30+1770</f>
        <v>10620</v>
      </c>
      <c r="K30" s="71">
        <f>J30+1770</f>
        <v>12390</v>
      </c>
      <c r="L30" s="71">
        <f t="shared" ref="L30:N30" si="18">K30+1770</f>
        <v>14160</v>
      </c>
      <c r="M30" s="71">
        <f t="shared" si="18"/>
        <v>15930</v>
      </c>
      <c r="N30" s="71">
        <f t="shared" si="18"/>
        <v>17700</v>
      </c>
      <c r="O30" s="63"/>
      <c r="P30" s="63"/>
      <c r="Q30" s="70">
        <f>N30+1770</f>
        <v>19470</v>
      </c>
      <c r="R30" s="71">
        <f>Q30+1770</f>
        <v>21240</v>
      </c>
      <c r="S30" s="71">
        <f t="shared" ref="S30:U30" si="19">R30+1770</f>
        <v>23010</v>
      </c>
      <c r="T30" s="71">
        <f t="shared" si="19"/>
        <v>24780</v>
      </c>
      <c r="U30" s="71">
        <f t="shared" si="19"/>
        <v>26550</v>
      </c>
      <c r="V30" s="63"/>
      <c r="W30" s="63"/>
      <c r="X30" s="70">
        <f>U30+1770</f>
        <v>28320</v>
      </c>
      <c r="Y30" s="71">
        <f>X30+1770</f>
        <v>30090</v>
      </c>
      <c r="Z30" s="71">
        <f t="shared" ref="Z30:AB30" si="20">Y30+1770</f>
        <v>31860</v>
      </c>
      <c r="AA30" s="71">
        <f t="shared" si="20"/>
        <v>33630</v>
      </c>
      <c r="AB30" s="71">
        <f t="shared" si="20"/>
        <v>35400</v>
      </c>
      <c r="AC30" s="63"/>
      <c r="AD30" s="63"/>
      <c r="AE30" s="83">
        <f>AB30+1770</f>
        <v>37170</v>
      </c>
      <c r="AF30" s="81">
        <f>AE30+1770</f>
        <v>38940</v>
      </c>
      <c r="AG30" s="32"/>
    </row>
    <row r="31" spans="1:33" x14ac:dyDescent="0.25">
      <c r="A31" s="19" t="s">
        <v>2</v>
      </c>
      <c r="B31" s="15"/>
      <c r="C31" s="4">
        <f>C29/C30</f>
        <v>0.42768361581920905</v>
      </c>
      <c r="D31" s="4">
        <f t="shared" ref="D31:AF31" si="21">D29/D30</f>
        <v>0.42796610169491528</v>
      </c>
      <c r="E31" s="4">
        <f t="shared" si="21"/>
        <v>0.66195856873822978</v>
      </c>
      <c r="F31" s="4">
        <f t="shared" si="21"/>
        <v>0.55635593220338986</v>
      </c>
      <c r="G31" s="4">
        <f t="shared" si="21"/>
        <v>0.64870056497175144</v>
      </c>
      <c r="H31" s="15"/>
      <c r="I31" s="15"/>
      <c r="J31" s="4">
        <f t="shared" si="21"/>
        <v>0.58521657250470804</v>
      </c>
      <c r="K31" s="4">
        <f t="shared" si="21"/>
        <v>0.53825665859564165</v>
      </c>
      <c r="L31" s="4">
        <f t="shared" si="21"/>
        <v>0.59449152542372885</v>
      </c>
      <c r="M31" s="4">
        <f t="shared" si="21"/>
        <v>0.63747645951035781</v>
      </c>
      <c r="N31" s="4">
        <f t="shared" si="21"/>
        <v>0.65711864406779663</v>
      </c>
      <c r="O31" s="15"/>
      <c r="P31" s="15"/>
      <c r="Q31" s="4">
        <f t="shared" si="21"/>
        <v>0.66327683615819211</v>
      </c>
      <c r="R31" s="4">
        <f t="shared" si="21"/>
        <v>0.66558380414312612</v>
      </c>
      <c r="S31" s="4">
        <f t="shared" si="21"/>
        <v>0.64093872229465454</v>
      </c>
      <c r="T31" s="4">
        <f t="shared" si="21"/>
        <v>0.70948345439870864</v>
      </c>
      <c r="U31" s="4">
        <f t="shared" si="21"/>
        <v>0.73096045197740112</v>
      </c>
      <c r="V31" s="15"/>
      <c r="W31" s="15"/>
      <c r="X31" s="4">
        <f t="shared" si="21"/>
        <v>0.72093926553672316</v>
      </c>
      <c r="Y31" s="4">
        <f t="shared" si="21"/>
        <v>0.74951811232967769</v>
      </c>
      <c r="Z31" s="4">
        <f t="shared" si="21"/>
        <v>0.71845574387947264</v>
      </c>
      <c r="AA31" s="4">
        <f t="shared" si="21"/>
        <v>0.7214986619090098</v>
      </c>
      <c r="AB31" s="4">
        <f t="shared" si="21"/>
        <v>0.70742937853107346</v>
      </c>
      <c r="AC31" s="15"/>
      <c r="AD31" s="15"/>
      <c r="AE31" s="4">
        <f t="shared" si="21"/>
        <v>0.6846919558783966</v>
      </c>
      <c r="AF31" s="4">
        <f t="shared" si="21"/>
        <v>0.66895223420647154</v>
      </c>
      <c r="AG31" s="32"/>
    </row>
    <row r="32" spans="1:33" ht="15.75" thickBot="1" x14ac:dyDescent="0.3">
      <c r="A32" s="20"/>
      <c r="B32" s="16"/>
      <c r="C32" s="7"/>
      <c r="D32" s="7"/>
      <c r="E32" s="26"/>
      <c r="F32" s="26"/>
      <c r="G32" s="7"/>
      <c r="H32" s="16"/>
      <c r="I32" s="16"/>
      <c r="J32" s="72"/>
      <c r="K32" s="73"/>
      <c r="L32" s="7"/>
      <c r="M32" s="7"/>
      <c r="N32" s="7"/>
      <c r="O32" s="16"/>
      <c r="P32" s="16"/>
      <c r="Q32" s="72"/>
      <c r="R32" s="73"/>
      <c r="S32" s="7"/>
      <c r="T32" s="7"/>
      <c r="U32" s="7"/>
      <c r="V32" s="16"/>
      <c r="W32" s="16"/>
      <c r="X32" s="72"/>
      <c r="Y32" s="73"/>
      <c r="Z32" s="7"/>
      <c r="AA32" s="82"/>
      <c r="AB32" s="82"/>
      <c r="AC32" s="16"/>
      <c r="AD32" s="16"/>
      <c r="AE32" s="72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60"/>
      <c r="C36" s="56">
        <v>1991</v>
      </c>
      <c r="D36" s="56">
        <v>5251</v>
      </c>
      <c r="E36" s="56">
        <v>6769</v>
      </c>
      <c r="F36" s="56">
        <v>10733</v>
      </c>
      <c r="G36" s="56">
        <v>13078</v>
      </c>
      <c r="H36" s="60"/>
      <c r="I36" s="60"/>
      <c r="J36" s="68">
        <v>15402</v>
      </c>
      <c r="K36" s="69">
        <v>16940</v>
      </c>
      <c r="L36" s="56">
        <v>19384</v>
      </c>
      <c r="M36" s="56">
        <v>21482</v>
      </c>
      <c r="N36" s="56">
        <v>24325</v>
      </c>
      <c r="O36" s="60"/>
      <c r="P36" s="60"/>
      <c r="Q36" s="68">
        <v>27475</v>
      </c>
      <c r="R36" s="69">
        <v>30121</v>
      </c>
      <c r="S36" s="56">
        <v>33928</v>
      </c>
      <c r="T36" s="56">
        <v>36668</v>
      </c>
      <c r="U36" s="56">
        <v>43390</v>
      </c>
      <c r="V36" s="60"/>
      <c r="W36" s="60"/>
      <c r="X36" s="68">
        <v>46871</v>
      </c>
      <c r="Y36" s="69">
        <v>48448</v>
      </c>
      <c r="Z36" s="56">
        <v>53354</v>
      </c>
      <c r="AA36" s="80">
        <v>58811</v>
      </c>
      <c r="AB36" s="80">
        <v>63983</v>
      </c>
      <c r="AC36" s="60"/>
      <c r="AD36" s="60"/>
      <c r="AE36" s="68">
        <v>67343</v>
      </c>
      <c r="AF36" s="69">
        <v>72177</v>
      </c>
      <c r="AG36" s="32"/>
    </row>
    <row r="37" spans="1:33" x14ac:dyDescent="0.25">
      <c r="A37" s="19" t="s">
        <v>1</v>
      </c>
      <c r="B37" s="63"/>
      <c r="C37" s="52">
        <v>3262</v>
      </c>
      <c r="D37" s="52">
        <f>C37+3262</f>
        <v>6524</v>
      </c>
      <c r="E37" s="52">
        <f t="shared" ref="E37:G37" si="22">D37+3262</f>
        <v>9786</v>
      </c>
      <c r="F37" s="52">
        <f t="shared" si="22"/>
        <v>13048</v>
      </c>
      <c r="G37" s="52">
        <f t="shared" si="22"/>
        <v>16310</v>
      </c>
      <c r="H37" s="63"/>
      <c r="I37" s="63"/>
      <c r="J37" s="70">
        <f>G37+3262</f>
        <v>19572</v>
      </c>
      <c r="K37" s="71">
        <f>J37+3262</f>
        <v>22834</v>
      </c>
      <c r="L37" s="71">
        <f t="shared" ref="L37:N37" si="23">K37+3262</f>
        <v>26096</v>
      </c>
      <c r="M37" s="71">
        <f t="shared" si="23"/>
        <v>29358</v>
      </c>
      <c r="N37" s="71">
        <f t="shared" si="23"/>
        <v>32620</v>
      </c>
      <c r="O37" s="63"/>
      <c r="P37" s="63"/>
      <c r="Q37" s="70">
        <f>N37+3262</f>
        <v>35882</v>
      </c>
      <c r="R37" s="71">
        <f>Q37+3262</f>
        <v>39144</v>
      </c>
      <c r="S37" s="71">
        <f t="shared" ref="S37:U37" si="24">R37+3262</f>
        <v>42406</v>
      </c>
      <c r="T37" s="71">
        <f t="shared" si="24"/>
        <v>45668</v>
      </c>
      <c r="U37" s="71">
        <f t="shared" si="24"/>
        <v>48930</v>
      </c>
      <c r="V37" s="63"/>
      <c r="W37" s="63"/>
      <c r="X37" s="70">
        <f>U37+3262</f>
        <v>52192</v>
      </c>
      <c r="Y37" s="71">
        <f>X37+3262</f>
        <v>55454</v>
      </c>
      <c r="Z37" s="71">
        <f t="shared" ref="Z37:AB37" si="25">Y37+3262</f>
        <v>58716</v>
      </c>
      <c r="AA37" s="71">
        <f t="shared" si="25"/>
        <v>61978</v>
      </c>
      <c r="AB37" s="71">
        <f t="shared" si="25"/>
        <v>65240</v>
      </c>
      <c r="AC37" s="63"/>
      <c r="AD37" s="63"/>
      <c r="AE37" s="83">
        <f>AB37+3262</f>
        <v>68502</v>
      </c>
      <c r="AF37" s="83">
        <f>AE37+3262</f>
        <v>71764</v>
      </c>
      <c r="AG37" s="32"/>
    </row>
    <row r="38" spans="1:33" x14ac:dyDescent="0.25">
      <c r="A38" s="19" t="s">
        <v>2</v>
      </c>
      <c r="B38" s="15"/>
      <c r="C38" s="4">
        <f>C36/C37</f>
        <v>0.61036174126302878</v>
      </c>
      <c r="D38" s="4">
        <f t="shared" ref="D38:AF38" si="26">D36/D37</f>
        <v>0.80487431023911715</v>
      </c>
      <c r="E38" s="4">
        <f t="shared" si="26"/>
        <v>0.69170243204577964</v>
      </c>
      <c r="F38" s="4">
        <f t="shared" si="26"/>
        <v>0.8225781729000613</v>
      </c>
      <c r="G38" s="4">
        <f t="shared" si="26"/>
        <v>0.8018393623543838</v>
      </c>
      <c r="H38" s="15"/>
      <c r="I38" s="15"/>
      <c r="J38" s="4">
        <f t="shared" si="26"/>
        <v>0.78694052728387487</v>
      </c>
      <c r="K38" s="4">
        <f t="shared" si="26"/>
        <v>0.74187614960147152</v>
      </c>
      <c r="L38" s="4">
        <f t="shared" si="26"/>
        <v>0.7427958307786634</v>
      </c>
      <c r="M38" s="4">
        <f t="shared" si="26"/>
        <v>0.73172559438653861</v>
      </c>
      <c r="N38" s="4">
        <f t="shared" si="26"/>
        <v>0.74570815450643779</v>
      </c>
      <c r="O38" s="15"/>
      <c r="P38" s="15"/>
      <c r="Q38" s="4">
        <f t="shared" si="26"/>
        <v>0.76570425282871635</v>
      </c>
      <c r="R38" s="4">
        <f t="shared" si="26"/>
        <v>0.76949213161659513</v>
      </c>
      <c r="S38" s="4">
        <f t="shared" si="26"/>
        <v>0.80007546101966698</v>
      </c>
      <c r="T38" s="4">
        <f t="shared" si="26"/>
        <v>0.80292546203030568</v>
      </c>
      <c r="U38" s="4">
        <f t="shared" si="26"/>
        <v>0.88677702840792971</v>
      </c>
      <c r="V38" s="15"/>
      <c r="W38" s="15"/>
      <c r="X38" s="4">
        <f t="shared" si="26"/>
        <v>0.89804950950337215</v>
      </c>
      <c r="Y38" s="4">
        <f t="shared" si="26"/>
        <v>0.8736610524037941</v>
      </c>
      <c r="Z38" s="4">
        <f t="shared" si="26"/>
        <v>0.90867906533142584</v>
      </c>
      <c r="AA38" s="4">
        <f t="shared" si="26"/>
        <v>0.9489012230146181</v>
      </c>
      <c r="AB38" s="4">
        <f t="shared" si="26"/>
        <v>0.98073267933782959</v>
      </c>
      <c r="AC38" s="15"/>
      <c r="AD38" s="15"/>
      <c r="AE38" s="4">
        <f t="shared" si="26"/>
        <v>0.98308078596245363</v>
      </c>
      <c r="AF38" s="4">
        <f t="shared" si="26"/>
        <v>1.0057549746390948</v>
      </c>
      <c r="AG38" s="32"/>
    </row>
    <row r="39" spans="1:33" ht="15.75" thickBot="1" x14ac:dyDescent="0.3">
      <c r="A39" s="20"/>
      <c r="B39" s="16"/>
      <c r="C39" s="7"/>
      <c r="D39" s="7"/>
      <c r="E39" s="26"/>
      <c r="F39" s="26"/>
      <c r="G39" s="7"/>
      <c r="H39" s="16"/>
      <c r="I39" s="16"/>
      <c r="J39" s="72"/>
      <c r="K39" s="73"/>
      <c r="L39" s="7"/>
      <c r="M39" s="7"/>
      <c r="N39" s="7"/>
      <c r="O39" s="16"/>
      <c r="P39" s="16"/>
      <c r="Q39" s="72"/>
      <c r="R39" s="73"/>
      <c r="S39" s="7"/>
      <c r="T39" s="7"/>
      <c r="U39" s="7"/>
      <c r="V39" s="16"/>
      <c r="W39" s="16"/>
      <c r="X39" s="72"/>
      <c r="Y39" s="73"/>
      <c r="Z39" s="7"/>
      <c r="AA39" s="82"/>
      <c r="AB39" s="82"/>
      <c r="AC39" s="16"/>
      <c r="AD39" s="16"/>
      <c r="AE39" s="72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60"/>
      <c r="C43" s="56">
        <v>0</v>
      </c>
      <c r="D43" s="56">
        <v>634</v>
      </c>
      <c r="E43" s="56">
        <v>1154</v>
      </c>
      <c r="F43" s="56">
        <v>1404</v>
      </c>
      <c r="G43" s="56">
        <v>1404</v>
      </c>
      <c r="H43" s="60"/>
      <c r="I43" s="60"/>
      <c r="J43" s="68">
        <v>2018</v>
      </c>
      <c r="K43" s="69">
        <v>3646</v>
      </c>
      <c r="L43" s="56">
        <v>4015</v>
      </c>
      <c r="M43" s="56">
        <v>4747</v>
      </c>
      <c r="N43" s="56">
        <v>5088</v>
      </c>
      <c r="O43" s="60"/>
      <c r="P43" s="60"/>
      <c r="Q43" s="68">
        <v>6082</v>
      </c>
      <c r="R43" s="69">
        <v>6626</v>
      </c>
      <c r="S43" s="56">
        <v>6797</v>
      </c>
      <c r="T43" s="56">
        <v>7104</v>
      </c>
      <c r="U43" s="56">
        <v>7334</v>
      </c>
      <c r="V43" s="60"/>
      <c r="W43" s="60"/>
      <c r="X43" s="68">
        <v>9029</v>
      </c>
      <c r="Y43" s="69">
        <v>9197</v>
      </c>
      <c r="Z43" s="56">
        <v>9917</v>
      </c>
      <c r="AA43" s="80">
        <v>10445</v>
      </c>
      <c r="AB43" s="80">
        <v>12144</v>
      </c>
      <c r="AC43" s="60"/>
      <c r="AD43" s="60"/>
      <c r="AE43" s="68">
        <v>12144</v>
      </c>
      <c r="AF43" s="69">
        <v>12240</v>
      </c>
      <c r="AG43" s="32"/>
    </row>
    <row r="44" spans="1:33" x14ac:dyDescent="0.25">
      <c r="A44" s="19" t="s">
        <v>1</v>
      </c>
      <c r="B44" s="63"/>
      <c r="C44" s="52">
        <f>731</f>
        <v>731</v>
      </c>
      <c r="D44" s="52">
        <f>C44+731</f>
        <v>1462</v>
      </c>
      <c r="E44" s="52">
        <f t="shared" ref="E44:G44" si="27">D44+731</f>
        <v>2193</v>
      </c>
      <c r="F44" s="52">
        <f t="shared" si="27"/>
        <v>2924</v>
      </c>
      <c r="G44" s="52">
        <f t="shared" si="27"/>
        <v>3655</v>
      </c>
      <c r="H44" s="63"/>
      <c r="I44" s="63"/>
      <c r="J44" s="70">
        <f>G44+731</f>
        <v>4386</v>
      </c>
      <c r="K44" s="71">
        <f>J44+731</f>
        <v>5117</v>
      </c>
      <c r="L44" s="71">
        <f t="shared" ref="L44:N44" si="28">K44+731</f>
        <v>5848</v>
      </c>
      <c r="M44" s="71">
        <f t="shared" si="28"/>
        <v>6579</v>
      </c>
      <c r="N44" s="71">
        <f t="shared" si="28"/>
        <v>7310</v>
      </c>
      <c r="O44" s="63"/>
      <c r="P44" s="63"/>
      <c r="Q44" s="70">
        <f>N44+731</f>
        <v>8041</v>
      </c>
      <c r="R44" s="71">
        <f>Q44+731</f>
        <v>8772</v>
      </c>
      <c r="S44" s="71">
        <f t="shared" ref="S44:U44" si="29">R44+731</f>
        <v>9503</v>
      </c>
      <c r="T44" s="71">
        <f t="shared" si="29"/>
        <v>10234</v>
      </c>
      <c r="U44" s="71">
        <f t="shared" si="29"/>
        <v>10965</v>
      </c>
      <c r="V44" s="63"/>
      <c r="W44" s="63"/>
      <c r="X44" s="70">
        <f>U44+731</f>
        <v>11696</v>
      </c>
      <c r="Y44" s="71">
        <f>X44+731</f>
        <v>12427</v>
      </c>
      <c r="Z44" s="71">
        <f t="shared" ref="Z44:AB44" si="30">Y44+731</f>
        <v>13158</v>
      </c>
      <c r="AA44" s="71">
        <f t="shared" si="30"/>
        <v>13889</v>
      </c>
      <c r="AB44" s="71">
        <f t="shared" si="30"/>
        <v>14620</v>
      </c>
      <c r="AC44" s="63"/>
      <c r="AD44" s="63"/>
      <c r="AE44" s="83">
        <f>AB44+731</f>
        <v>15351</v>
      </c>
      <c r="AF44" s="81">
        <f>AE44+731</f>
        <v>16082</v>
      </c>
      <c r="AG44" s="32"/>
    </row>
    <row r="45" spans="1:33" x14ac:dyDescent="0.25">
      <c r="A45" s="19" t="s">
        <v>2</v>
      </c>
      <c r="B45" s="15"/>
      <c r="C45" s="4">
        <f>C43/C44</f>
        <v>0</v>
      </c>
      <c r="D45" s="4">
        <f t="shared" ref="D45:AF45" si="31">D43/D44</f>
        <v>0.43365253077975374</v>
      </c>
      <c r="E45" s="4">
        <f t="shared" si="31"/>
        <v>0.52621979024167809</v>
      </c>
      <c r="F45" s="4">
        <f t="shared" si="31"/>
        <v>0.48016415868673051</v>
      </c>
      <c r="G45" s="4">
        <f t="shared" si="31"/>
        <v>0.3841313269493844</v>
      </c>
      <c r="H45" s="15"/>
      <c r="I45" s="15"/>
      <c r="J45" s="4">
        <f t="shared" si="31"/>
        <v>0.46010031919744643</v>
      </c>
      <c r="K45" s="4">
        <f t="shared" si="31"/>
        <v>0.7125268712136017</v>
      </c>
      <c r="L45" s="4">
        <f t="shared" si="31"/>
        <v>0.68655950752393979</v>
      </c>
      <c r="M45" s="4">
        <f t="shared" si="31"/>
        <v>0.72153822769417841</v>
      </c>
      <c r="N45" s="4">
        <f t="shared" si="31"/>
        <v>0.69603283173734609</v>
      </c>
      <c r="O45" s="15"/>
      <c r="P45" s="15"/>
      <c r="Q45" s="4">
        <f t="shared" si="31"/>
        <v>0.75637358537495336</v>
      </c>
      <c r="R45" s="4">
        <f t="shared" si="31"/>
        <v>0.75535795713634291</v>
      </c>
      <c r="S45" s="4">
        <f t="shared" si="31"/>
        <v>0.71524781647900659</v>
      </c>
      <c r="T45" s="4">
        <f t="shared" si="31"/>
        <v>0.69415673246042608</v>
      </c>
      <c r="U45" s="4">
        <f t="shared" si="31"/>
        <v>0.66885544915640671</v>
      </c>
      <c r="V45" s="15"/>
      <c r="W45" s="15"/>
      <c r="X45" s="4">
        <f t="shared" si="31"/>
        <v>0.77197332421340625</v>
      </c>
      <c r="Y45" s="4">
        <f t="shared" si="31"/>
        <v>0.74008207934336523</v>
      </c>
      <c r="Z45" s="4">
        <f t="shared" si="31"/>
        <v>0.75368597051223585</v>
      </c>
      <c r="AA45" s="4">
        <f t="shared" si="31"/>
        <v>0.75203398372813013</v>
      </c>
      <c r="AB45" s="4">
        <f t="shared" si="31"/>
        <v>0.83064295485636119</v>
      </c>
      <c r="AC45" s="15"/>
      <c r="AD45" s="15"/>
      <c r="AE45" s="4">
        <f t="shared" si="31"/>
        <v>0.79108852843462962</v>
      </c>
      <c r="AF45" s="4">
        <f t="shared" si="31"/>
        <v>0.7610993657505285</v>
      </c>
      <c r="AG45" s="32"/>
    </row>
    <row r="46" spans="1:33" ht="15.75" thickBot="1" x14ac:dyDescent="0.3">
      <c r="A46" s="20"/>
      <c r="B46" s="16"/>
      <c r="C46" s="7"/>
      <c r="D46" s="7"/>
      <c r="E46" s="26"/>
      <c r="F46" s="26"/>
      <c r="G46" s="7"/>
      <c r="H46" s="16"/>
      <c r="I46" s="16"/>
      <c r="J46" s="72"/>
      <c r="K46" s="73"/>
      <c r="L46" s="7"/>
      <c r="M46" s="7"/>
      <c r="N46" s="7"/>
      <c r="O46" s="16"/>
      <c r="P46" s="16"/>
      <c r="Q46" s="72"/>
      <c r="R46" s="73"/>
      <c r="S46" s="7"/>
      <c r="T46" s="7"/>
      <c r="U46" s="7"/>
      <c r="V46" s="16"/>
      <c r="W46" s="16"/>
      <c r="X46" s="72"/>
      <c r="Y46" s="73"/>
      <c r="Z46" s="7"/>
      <c r="AA46" s="82"/>
      <c r="AB46" s="82"/>
      <c r="AC46" s="16"/>
      <c r="AD46" s="16"/>
      <c r="AE46" s="72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60"/>
      <c r="C49" s="56">
        <v>539</v>
      </c>
      <c r="D49" s="56">
        <v>1019</v>
      </c>
      <c r="E49" s="56">
        <v>1304</v>
      </c>
      <c r="F49" s="56">
        <v>1907</v>
      </c>
      <c r="G49" s="56">
        <v>2345</v>
      </c>
      <c r="H49" s="60"/>
      <c r="I49" s="60"/>
      <c r="J49" s="68">
        <v>3169</v>
      </c>
      <c r="K49" s="69">
        <v>4133</v>
      </c>
      <c r="L49" s="56">
        <v>5051</v>
      </c>
      <c r="M49" s="56">
        <v>5597</v>
      </c>
      <c r="N49" s="56">
        <v>6099</v>
      </c>
      <c r="O49" s="60"/>
      <c r="P49" s="60"/>
      <c r="Q49" s="68">
        <v>6710</v>
      </c>
      <c r="R49" s="69">
        <v>7040</v>
      </c>
      <c r="S49" s="56">
        <v>7837</v>
      </c>
      <c r="T49" s="56">
        <v>8319</v>
      </c>
      <c r="U49" s="56">
        <v>8439</v>
      </c>
      <c r="V49" s="60"/>
      <c r="W49" s="60"/>
      <c r="X49" s="68">
        <v>9277</v>
      </c>
      <c r="Y49" s="69">
        <v>9499</v>
      </c>
      <c r="Z49" s="56">
        <v>9836</v>
      </c>
      <c r="AA49" s="80">
        <v>10407</v>
      </c>
      <c r="AB49" s="80">
        <v>11057</v>
      </c>
      <c r="AC49" s="60"/>
      <c r="AD49" s="60"/>
      <c r="AE49" s="68">
        <v>11228</v>
      </c>
      <c r="AF49" s="69">
        <v>12690</v>
      </c>
      <c r="AG49" s="32"/>
    </row>
    <row r="50" spans="1:33" x14ac:dyDescent="0.25">
      <c r="A50" s="19" t="s">
        <v>1</v>
      </c>
      <c r="B50" s="63"/>
      <c r="C50" s="52">
        <v>515</v>
      </c>
      <c r="D50" s="52">
        <f>C50+515</f>
        <v>1030</v>
      </c>
      <c r="E50" s="52">
        <f t="shared" ref="E50:G50" si="32">D50+515</f>
        <v>1545</v>
      </c>
      <c r="F50" s="52">
        <f t="shared" si="32"/>
        <v>2060</v>
      </c>
      <c r="G50" s="52">
        <f t="shared" si="32"/>
        <v>2575</v>
      </c>
      <c r="H50" s="63"/>
      <c r="I50" s="63"/>
      <c r="J50" s="70">
        <f>G50+515</f>
        <v>3090</v>
      </c>
      <c r="K50" s="71">
        <f>J50+515</f>
        <v>3605</v>
      </c>
      <c r="L50" s="71">
        <f t="shared" ref="L50:N50" si="33">K50+515</f>
        <v>4120</v>
      </c>
      <c r="M50" s="71">
        <f t="shared" si="33"/>
        <v>4635</v>
      </c>
      <c r="N50" s="71">
        <f t="shared" si="33"/>
        <v>5150</v>
      </c>
      <c r="O50" s="63"/>
      <c r="P50" s="63"/>
      <c r="Q50" s="70">
        <f>N50+515</f>
        <v>5665</v>
      </c>
      <c r="R50" s="71">
        <f>Q50+515</f>
        <v>6180</v>
      </c>
      <c r="S50" s="71">
        <f t="shared" ref="S50:U50" si="34">R50+515</f>
        <v>6695</v>
      </c>
      <c r="T50" s="71">
        <f t="shared" si="34"/>
        <v>7210</v>
      </c>
      <c r="U50" s="71">
        <f t="shared" si="34"/>
        <v>7725</v>
      </c>
      <c r="V50" s="63"/>
      <c r="W50" s="63"/>
      <c r="X50" s="70">
        <f>U50+515</f>
        <v>8240</v>
      </c>
      <c r="Y50" s="71">
        <f>X50+515</f>
        <v>8755</v>
      </c>
      <c r="Z50" s="71">
        <f t="shared" ref="Z50:AB50" si="35">Y50+515</f>
        <v>9270</v>
      </c>
      <c r="AA50" s="71">
        <f t="shared" si="35"/>
        <v>9785</v>
      </c>
      <c r="AB50" s="71">
        <f t="shared" si="35"/>
        <v>10300</v>
      </c>
      <c r="AC50" s="63"/>
      <c r="AD50" s="63"/>
      <c r="AE50" s="83">
        <f>AB50+515</f>
        <v>10815</v>
      </c>
      <c r="AF50" s="81">
        <f>AE50+515</f>
        <v>11330</v>
      </c>
      <c r="AG50" s="32"/>
    </row>
    <row r="51" spans="1:33" x14ac:dyDescent="0.25">
      <c r="A51" s="19" t="s">
        <v>2</v>
      </c>
      <c r="B51" s="15"/>
      <c r="C51" s="4">
        <f>C49/C50</f>
        <v>1.0466019417475727</v>
      </c>
      <c r="D51" s="4">
        <f t="shared" ref="D51:AF51" si="36">D49/D50</f>
        <v>0.98932038834951452</v>
      </c>
      <c r="E51" s="4">
        <f t="shared" si="36"/>
        <v>0.84401294498381874</v>
      </c>
      <c r="F51" s="4">
        <f t="shared" si="36"/>
        <v>0.92572815533980579</v>
      </c>
      <c r="G51" s="4">
        <f t="shared" si="36"/>
        <v>0.91067961165048539</v>
      </c>
      <c r="H51" s="15"/>
      <c r="I51" s="15"/>
      <c r="J51" s="4">
        <f t="shared" si="36"/>
        <v>1.0255663430420712</v>
      </c>
      <c r="K51" s="4">
        <f t="shared" si="36"/>
        <v>1.1464632454923718</v>
      </c>
      <c r="L51" s="4">
        <f t="shared" si="36"/>
        <v>1.2259708737864077</v>
      </c>
      <c r="M51" s="4">
        <f t="shared" si="36"/>
        <v>1.2075512405609492</v>
      </c>
      <c r="N51" s="4">
        <f t="shared" si="36"/>
        <v>1.1842718446601941</v>
      </c>
      <c r="O51" s="15"/>
      <c r="P51" s="15"/>
      <c r="Q51" s="4">
        <f t="shared" si="36"/>
        <v>1.1844660194174756</v>
      </c>
      <c r="R51" s="4">
        <f t="shared" si="36"/>
        <v>1.1391585760517799</v>
      </c>
      <c r="S51" s="4">
        <f t="shared" si="36"/>
        <v>1.1705750560119492</v>
      </c>
      <c r="T51" s="4">
        <f t="shared" si="36"/>
        <v>1.1538141470180305</v>
      </c>
      <c r="U51" s="4">
        <f t="shared" si="36"/>
        <v>1.0924271844660194</v>
      </c>
      <c r="V51" s="15"/>
      <c r="W51" s="15"/>
      <c r="X51" s="4">
        <f t="shared" si="36"/>
        <v>1.1258495145631069</v>
      </c>
      <c r="Y51" s="4">
        <f t="shared" si="36"/>
        <v>1.0849800114220445</v>
      </c>
      <c r="Z51" s="4">
        <f t="shared" si="36"/>
        <v>1.0610571736785328</v>
      </c>
      <c r="AA51" s="4">
        <f t="shared" si="36"/>
        <v>1.0635666836995401</v>
      </c>
      <c r="AB51" s="4">
        <f t="shared" si="36"/>
        <v>1.073495145631068</v>
      </c>
      <c r="AC51" s="15"/>
      <c r="AD51" s="15"/>
      <c r="AE51" s="4">
        <f t="shared" si="36"/>
        <v>1.0381877022653723</v>
      </c>
      <c r="AF51" s="4">
        <f t="shared" si="36"/>
        <v>1.1200353045013238</v>
      </c>
      <c r="AG51" s="32"/>
    </row>
    <row r="52" spans="1:33" ht="15.75" thickBot="1" x14ac:dyDescent="0.3">
      <c r="A52" s="20"/>
      <c r="B52" s="16"/>
      <c r="C52" s="7"/>
      <c r="D52" s="7"/>
      <c r="E52" s="26"/>
      <c r="F52" s="26"/>
      <c r="G52" s="7"/>
      <c r="H52" s="16"/>
      <c r="I52" s="16"/>
      <c r="J52" s="72"/>
      <c r="K52" s="73"/>
      <c r="L52" s="7"/>
      <c r="M52" s="7"/>
      <c r="N52" s="7"/>
      <c r="O52" s="16"/>
      <c r="P52" s="16"/>
      <c r="Q52" s="72"/>
      <c r="R52" s="73"/>
      <c r="S52" s="7"/>
      <c r="T52" s="7"/>
      <c r="U52" s="7"/>
      <c r="V52" s="16"/>
      <c r="W52" s="16"/>
      <c r="X52" s="72"/>
      <c r="Y52" s="73"/>
      <c r="Z52" s="7"/>
      <c r="AA52" s="82"/>
      <c r="AB52" s="82"/>
      <c r="AC52" s="16"/>
      <c r="AD52" s="16"/>
      <c r="AE52" s="72"/>
      <c r="AF52" s="73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6">
        <v>31</v>
      </c>
      <c r="AG55" s="32"/>
    </row>
    <row r="56" spans="1:33" x14ac:dyDescent="0.25">
      <c r="A56" s="19" t="s">
        <v>8</v>
      </c>
      <c r="B56" s="60"/>
      <c r="C56" s="56">
        <v>3694</v>
      </c>
      <c r="D56" s="56">
        <v>7357</v>
      </c>
      <c r="E56" s="56">
        <v>8680</v>
      </c>
      <c r="F56" s="56">
        <v>10756</v>
      </c>
      <c r="G56" s="56">
        <v>15750</v>
      </c>
      <c r="H56" s="60"/>
      <c r="I56" s="60"/>
      <c r="J56" s="68">
        <v>16640</v>
      </c>
      <c r="K56" s="69">
        <v>17825</v>
      </c>
      <c r="L56" s="56">
        <v>18356</v>
      </c>
      <c r="M56" s="56">
        <v>19775</v>
      </c>
      <c r="N56" s="56">
        <v>20563</v>
      </c>
      <c r="O56" s="60"/>
      <c r="P56" s="60"/>
      <c r="Q56" s="68">
        <v>22244</v>
      </c>
      <c r="R56" s="69">
        <v>22935</v>
      </c>
      <c r="S56" s="56">
        <v>25947</v>
      </c>
      <c r="T56" s="56">
        <v>29767</v>
      </c>
      <c r="U56" s="56">
        <v>35606</v>
      </c>
      <c r="V56" s="60"/>
      <c r="W56" s="60"/>
      <c r="X56" s="68">
        <v>35606</v>
      </c>
      <c r="Y56" s="69">
        <v>36399</v>
      </c>
      <c r="Z56" s="56">
        <v>38143</v>
      </c>
      <c r="AA56" s="80">
        <v>41277</v>
      </c>
      <c r="AB56" s="80">
        <v>42751</v>
      </c>
      <c r="AC56" s="60"/>
      <c r="AD56" s="60"/>
      <c r="AE56" s="68">
        <v>43976</v>
      </c>
      <c r="AF56" s="69">
        <v>44651</v>
      </c>
      <c r="AG56" s="32"/>
    </row>
    <row r="57" spans="1:33" x14ac:dyDescent="0.25">
      <c r="A57" s="19" t="s">
        <v>1</v>
      </c>
      <c r="B57" s="63"/>
      <c r="C57" s="52">
        <v>2004</v>
      </c>
      <c r="D57" s="52">
        <f>C57+2004</f>
        <v>4008</v>
      </c>
      <c r="E57" s="52">
        <f t="shared" ref="E57:G57" si="37">D57+2004</f>
        <v>6012</v>
      </c>
      <c r="F57" s="52">
        <f t="shared" si="37"/>
        <v>8016</v>
      </c>
      <c r="G57" s="52">
        <f t="shared" si="37"/>
        <v>10020</v>
      </c>
      <c r="H57" s="63"/>
      <c r="I57" s="63"/>
      <c r="J57" s="70">
        <f>G57+2004</f>
        <v>12024</v>
      </c>
      <c r="K57" s="71">
        <f>J57+2004</f>
        <v>14028</v>
      </c>
      <c r="L57" s="71">
        <f t="shared" ref="L57:N57" si="38">K57+2004</f>
        <v>16032</v>
      </c>
      <c r="M57" s="71">
        <f t="shared" si="38"/>
        <v>18036</v>
      </c>
      <c r="N57" s="71">
        <f t="shared" si="38"/>
        <v>20040</v>
      </c>
      <c r="O57" s="63"/>
      <c r="P57" s="63"/>
      <c r="Q57" s="70">
        <f>N57+2004</f>
        <v>22044</v>
      </c>
      <c r="R57" s="71">
        <f>Q57+2004</f>
        <v>24048</v>
      </c>
      <c r="S57" s="71">
        <f t="shared" ref="S57:U57" si="39">R57+2004</f>
        <v>26052</v>
      </c>
      <c r="T57" s="71">
        <f t="shared" si="39"/>
        <v>28056</v>
      </c>
      <c r="U57" s="71">
        <f t="shared" si="39"/>
        <v>30060</v>
      </c>
      <c r="V57" s="63"/>
      <c r="W57" s="63"/>
      <c r="X57" s="70">
        <f>U57+2004</f>
        <v>32064</v>
      </c>
      <c r="Y57" s="71">
        <f>X57+2004</f>
        <v>34068</v>
      </c>
      <c r="Z57" s="71">
        <f t="shared" ref="Z57:AB57" si="40">Y57+2004</f>
        <v>36072</v>
      </c>
      <c r="AA57" s="71">
        <f t="shared" si="40"/>
        <v>38076</v>
      </c>
      <c r="AB57" s="71">
        <f t="shared" si="40"/>
        <v>40080</v>
      </c>
      <c r="AC57" s="63"/>
      <c r="AD57" s="63"/>
      <c r="AE57" s="83">
        <f>AB57+2004</f>
        <v>42084</v>
      </c>
      <c r="AF57" s="81">
        <f>AE57+2004</f>
        <v>44088</v>
      </c>
      <c r="AG57" s="32"/>
    </row>
    <row r="58" spans="1:33" x14ac:dyDescent="0.25">
      <c r="A58" s="19" t="s">
        <v>2</v>
      </c>
      <c r="B58" s="15"/>
      <c r="C58" s="4">
        <f>C56/C57</f>
        <v>1.843313373253493</v>
      </c>
      <c r="D58" s="4">
        <f t="shared" ref="D58:AF58" si="41">D56/D57</f>
        <v>1.8355788423153692</v>
      </c>
      <c r="E58" s="4">
        <f t="shared" si="41"/>
        <v>1.4437791084497671</v>
      </c>
      <c r="F58" s="4">
        <f t="shared" si="41"/>
        <v>1.341816367265469</v>
      </c>
      <c r="G58" s="4">
        <f t="shared" si="41"/>
        <v>1.5718562874251496</v>
      </c>
      <c r="H58" s="15"/>
      <c r="I58" s="15"/>
      <c r="J58" s="4">
        <f t="shared" si="41"/>
        <v>1.383898868928809</v>
      </c>
      <c r="K58" s="4">
        <f t="shared" si="41"/>
        <v>1.2706729398346164</v>
      </c>
      <c r="L58" s="4">
        <f t="shared" si="41"/>
        <v>1.1449600798403194</v>
      </c>
      <c r="M58" s="4">
        <f t="shared" si="41"/>
        <v>1.096418274561987</v>
      </c>
      <c r="N58" s="4">
        <f t="shared" si="41"/>
        <v>1.0260978043912177</v>
      </c>
      <c r="O58" s="15"/>
      <c r="P58" s="15"/>
      <c r="Q58" s="4">
        <f t="shared" si="41"/>
        <v>1.0090727635637815</v>
      </c>
      <c r="R58" s="4">
        <f t="shared" si="41"/>
        <v>0.95371756487025949</v>
      </c>
      <c r="S58" s="4">
        <f t="shared" si="41"/>
        <v>0.99596959926301243</v>
      </c>
      <c r="T58" s="4">
        <f t="shared" si="41"/>
        <v>1.0609851725121187</v>
      </c>
      <c r="U58" s="4">
        <f t="shared" si="41"/>
        <v>1.1844976713240187</v>
      </c>
      <c r="V58" s="15"/>
      <c r="W58" s="15"/>
      <c r="X58" s="4">
        <f t="shared" si="41"/>
        <v>1.1104665668662674</v>
      </c>
      <c r="Y58" s="4">
        <f t="shared" si="41"/>
        <v>1.0684219795702712</v>
      </c>
      <c r="Z58" s="4">
        <f t="shared" si="41"/>
        <v>1.0574129518740296</v>
      </c>
      <c r="AA58" s="4">
        <f t="shared" si="41"/>
        <v>1.0840687046958715</v>
      </c>
      <c r="AB58" s="4">
        <f t="shared" si="41"/>
        <v>1.0666417165668662</v>
      </c>
      <c r="AC58" s="15"/>
      <c r="AD58" s="15"/>
      <c r="AE58" s="4">
        <f t="shared" si="41"/>
        <v>1.0449577036403384</v>
      </c>
      <c r="AF58" s="4">
        <f t="shared" si="41"/>
        <v>1.0127699147160225</v>
      </c>
      <c r="AG58" s="32"/>
    </row>
    <row r="59" spans="1:33" ht="15.75" thickBot="1" x14ac:dyDescent="0.3">
      <c r="A59" s="20"/>
      <c r="B59" s="16"/>
      <c r="C59" s="7"/>
      <c r="D59" s="7"/>
      <c r="E59" s="26"/>
      <c r="F59" s="26"/>
      <c r="G59" s="7"/>
      <c r="H59" s="16"/>
      <c r="I59" s="16"/>
      <c r="J59" s="72"/>
      <c r="K59" s="73"/>
      <c r="L59" s="7"/>
      <c r="M59" s="7"/>
      <c r="N59" s="7"/>
      <c r="O59" s="16"/>
      <c r="P59" s="16"/>
      <c r="Q59" s="72"/>
      <c r="R59" s="73"/>
      <c r="S59" s="7"/>
      <c r="T59" s="7"/>
      <c r="U59" s="7"/>
      <c r="V59" s="16"/>
      <c r="W59" s="16"/>
      <c r="X59" s="72"/>
      <c r="Y59" s="73"/>
      <c r="Z59" s="7"/>
      <c r="AA59" s="82"/>
      <c r="AB59" s="82"/>
      <c r="AC59" s="16"/>
      <c r="AD59" s="16"/>
      <c r="AE59" s="72"/>
      <c r="AF59" s="73"/>
      <c r="AG59" s="32"/>
    </row>
    <row r="60" spans="1:33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  <c r="AG60" s="32"/>
    </row>
    <row r="61" spans="1:33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  <c r="AF62" s="6">
        <v>31</v>
      </c>
    </row>
    <row r="63" spans="1:33" x14ac:dyDescent="0.25">
      <c r="A63" s="19" t="s">
        <v>8</v>
      </c>
      <c r="B63" s="60"/>
      <c r="C63" s="56">
        <v>337</v>
      </c>
      <c r="D63" s="56">
        <v>1600</v>
      </c>
      <c r="E63" s="56">
        <v>2407</v>
      </c>
      <c r="F63" s="56">
        <v>2853</v>
      </c>
      <c r="G63" s="56">
        <v>3754</v>
      </c>
      <c r="H63" s="60"/>
      <c r="I63" s="60"/>
      <c r="J63" s="68">
        <v>4706</v>
      </c>
      <c r="K63" s="69">
        <v>5735</v>
      </c>
      <c r="L63" s="56">
        <v>6402</v>
      </c>
      <c r="M63" s="56">
        <v>7860</v>
      </c>
      <c r="N63" s="56">
        <v>8448</v>
      </c>
      <c r="O63" s="60"/>
      <c r="P63" s="60"/>
      <c r="Q63" s="68">
        <v>9707</v>
      </c>
      <c r="R63" s="69">
        <v>10591</v>
      </c>
      <c r="S63" s="56">
        <v>11154</v>
      </c>
      <c r="T63" s="56">
        <v>13349</v>
      </c>
      <c r="U63" s="56">
        <v>14148</v>
      </c>
      <c r="V63" s="60"/>
      <c r="W63" s="60"/>
      <c r="X63" s="68">
        <v>15034</v>
      </c>
      <c r="Y63" s="69">
        <v>16723</v>
      </c>
      <c r="Z63" s="56">
        <v>17401</v>
      </c>
      <c r="AA63" s="80">
        <v>18640</v>
      </c>
      <c r="AB63" s="80">
        <v>19435</v>
      </c>
      <c r="AC63" s="60"/>
      <c r="AD63" s="60"/>
      <c r="AE63" s="68">
        <v>19870</v>
      </c>
      <c r="AF63" s="69">
        <v>22140</v>
      </c>
    </row>
    <row r="64" spans="1:33" x14ac:dyDescent="0.25">
      <c r="A64" s="19" t="s">
        <v>1</v>
      </c>
      <c r="B64" s="63"/>
      <c r="C64" s="52">
        <v>913</v>
      </c>
      <c r="D64" s="52">
        <f>C64+913</f>
        <v>1826</v>
      </c>
      <c r="E64" s="52">
        <f t="shared" ref="E64:G64" si="42">D64+913</f>
        <v>2739</v>
      </c>
      <c r="F64" s="52">
        <f t="shared" si="42"/>
        <v>3652</v>
      </c>
      <c r="G64" s="52">
        <f t="shared" si="42"/>
        <v>4565</v>
      </c>
      <c r="H64" s="63"/>
      <c r="I64" s="63"/>
      <c r="J64" s="70">
        <f>G64+913</f>
        <v>5478</v>
      </c>
      <c r="K64" s="71">
        <f>J64+913</f>
        <v>6391</v>
      </c>
      <c r="L64" s="71">
        <f t="shared" ref="L64:N64" si="43">K64+913</f>
        <v>7304</v>
      </c>
      <c r="M64" s="71">
        <f t="shared" si="43"/>
        <v>8217</v>
      </c>
      <c r="N64" s="71">
        <f t="shared" si="43"/>
        <v>9130</v>
      </c>
      <c r="O64" s="63"/>
      <c r="P64" s="63"/>
      <c r="Q64" s="70">
        <f>N64+913</f>
        <v>10043</v>
      </c>
      <c r="R64" s="71">
        <f>Q64+913</f>
        <v>10956</v>
      </c>
      <c r="S64" s="71">
        <f t="shared" ref="S64:U64" si="44">R64+913</f>
        <v>11869</v>
      </c>
      <c r="T64" s="71">
        <f t="shared" si="44"/>
        <v>12782</v>
      </c>
      <c r="U64" s="71">
        <f t="shared" si="44"/>
        <v>13695</v>
      </c>
      <c r="V64" s="63"/>
      <c r="W64" s="63"/>
      <c r="X64" s="70">
        <f>U64+913</f>
        <v>14608</v>
      </c>
      <c r="Y64" s="71">
        <f>X64+913</f>
        <v>15521</v>
      </c>
      <c r="Z64" s="71">
        <f t="shared" ref="Z64:AB64" si="45">Y64+913</f>
        <v>16434</v>
      </c>
      <c r="AA64" s="71">
        <f t="shared" si="45"/>
        <v>17347</v>
      </c>
      <c r="AB64" s="71">
        <f t="shared" si="45"/>
        <v>18260</v>
      </c>
      <c r="AC64" s="63"/>
      <c r="AD64" s="63"/>
      <c r="AE64" s="83">
        <f>AB64+913</f>
        <v>19173</v>
      </c>
      <c r="AF64" s="81">
        <f>AE64+913</f>
        <v>20086</v>
      </c>
    </row>
    <row r="65" spans="1:32" x14ac:dyDescent="0.25">
      <c r="A65" s="19" t="s">
        <v>2</v>
      </c>
      <c r="B65" s="15"/>
      <c r="C65" s="4">
        <f>C63/C64</f>
        <v>0.36911281489594744</v>
      </c>
      <c r="D65" s="4">
        <f t="shared" ref="D65:AF65" si="46">D63/D64</f>
        <v>0.87623220153340631</v>
      </c>
      <c r="E65" s="4">
        <f t="shared" si="46"/>
        <v>0.87878787878787878</v>
      </c>
      <c r="F65" s="4">
        <f t="shared" si="46"/>
        <v>0.78121577217962757</v>
      </c>
      <c r="G65" s="4">
        <f t="shared" si="46"/>
        <v>0.82234392113910182</v>
      </c>
      <c r="H65" s="15"/>
      <c r="I65" s="15"/>
      <c r="J65" s="4">
        <f t="shared" si="46"/>
        <v>0.8590726542533772</v>
      </c>
      <c r="K65" s="4">
        <f t="shared" si="46"/>
        <v>0.89735565639180093</v>
      </c>
      <c r="L65" s="4">
        <f t="shared" si="46"/>
        <v>0.87650602409638556</v>
      </c>
      <c r="M65" s="4">
        <f t="shared" si="46"/>
        <v>0.95655348667396856</v>
      </c>
      <c r="N65" s="4">
        <f t="shared" si="46"/>
        <v>0.92530120481927713</v>
      </c>
      <c r="O65" s="15"/>
      <c r="P65" s="15"/>
      <c r="Q65" s="4">
        <f t="shared" si="46"/>
        <v>0.96654386139599724</v>
      </c>
      <c r="R65" s="4">
        <f t="shared" si="46"/>
        <v>0.9666849215041986</v>
      </c>
      <c r="S65" s="4">
        <f t="shared" si="46"/>
        <v>0.93975903614457834</v>
      </c>
      <c r="T65" s="4">
        <f t="shared" si="46"/>
        <v>1.0443592552026286</v>
      </c>
      <c r="U65" s="4">
        <f t="shared" si="46"/>
        <v>1.033077765607886</v>
      </c>
      <c r="V65" s="15"/>
      <c r="W65" s="15"/>
      <c r="X65" s="4">
        <f t="shared" si="46"/>
        <v>1.0291621029572837</v>
      </c>
      <c r="Y65" s="4">
        <f t="shared" si="46"/>
        <v>1.0774434636943495</v>
      </c>
      <c r="Z65" s="4">
        <f t="shared" si="46"/>
        <v>1.0588414263113057</v>
      </c>
      <c r="AA65" s="4">
        <f t="shared" si="46"/>
        <v>1.0745373839857035</v>
      </c>
      <c r="AB65" s="4">
        <f t="shared" si="46"/>
        <v>1.0643483023001095</v>
      </c>
      <c r="AC65" s="15"/>
      <c r="AD65" s="15"/>
      <c r="AE65" s="4">
        <f t="shared" si="46"/>
        <v>1.0363532050279038</v>
      </c>
      <c r="AF65" s="4">
        <f t="shared" si="46"/>
        <v>1.1022602807925919</v>
      </c>
    </row>
    <row r="66" spans="1:32" ht="15.75" thickBot="1" x14ac:dyDescent="0.3">
      <c r="A66" s="20"/>
      <c r="B66" s="16"/>
      <c r="C66" s="7"/>
      <c r="D66" s="7"/>
      <c r="E66" s="26"/>
      <c r="F66" s="26"/>
      <c r="G66" s="7"/>
      <c r="H66" s="16"/>
      <c r="I66" s="16"/>
      <c r="J66" s="72"/>
      <c r="K66" s="73"/>
      <c r="L66" s="7"/>
      <c r="M66" s="7"/>
      <c r="N66" s="7"/>
      <c r="O66" s="16"/>
      <c r="P66" s="16"/>
      <c r="Q66" s="72"/>
      <c r="R66" s="73"/>
      <c r="S66" s="7"/>
      <c r="T66" s="7"/>
      <c r="U66" s="7"/>
      <c r="V66" s="16"/>
      <c r="W66" s="16"/>
      <c r="X66" s="72"/>
      <c r="Y66" s="73"/>
      <c r="Z66" s="7"/>
      <c r="AA66" s="82"/>
      <c r="AB66" s="82"/>
      <c r="AC66" s="16"/>
      <c r="AD66" s="16"/>
      <c r="AE66" s="72"/>
      <c r="AF66" s="73"/>
    </row>
    <row r="68" spans="1:32" ht="15.75" thickBot="1" x14ac:dyDescent="0.3"/>
    <row r="69" spans="1:32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  <c r="AF69" s="6">
        <v>31</v>
      </c>
    </row>
    <row r="70" spans="1:32" x14ac:dyDescent="0.25">
      <c r="A70" s="19" t="s">
        <v>8</v>
      </c>
      <c r="B70" s="60"/>
      <c r="C70" s="56">
        <v>61</v>
      </c>
      <c r="D70" s="56">
        <v>61</v>
      </c>
      <c r="E70" s="56">
        <v>61</v>
      </c>
      <c r="F70" s="56">
        <v>672</v>
      </c>
      <c r="G70" s="56">
        <v>1615</v>
      </c>
      <c r="H70" s="60"/>
      <c r="I70" s="60"/>
      <c r="J70" s="68">
        <v>2788</v>
      </c>
      <c r="K70" s="69">
        <v>3972</v>
      </c>
      <c r="L70" s="56">
        <v>5208</v>
      </c>
      <c r="M70" s="56">
        <v>5459</v>
      </c>
      <c r="N70" s="56">
        <v>7742</v>
      </c>
      <c r="O70" s="60"/>
      <c r="P70" s="60"/>
      <c r="Q70" s="68">
        <v>9430</v>
      </c>
      <c r="R70" s="69">
        <v>9757</v>
      </c>
      <c r="S70" s="56">
        <v>10005</v>
      </c>
      <c r="T70" s="56">
        <v>11747</v>
      </c>
      <c r="U70" s="56">
        <v>12504</v>
      </c>
      <c r="V70" s="60"/>
      <c r="W70" s="60"/>
      <c r="X70" s="68">
        <v>14459</v>
      </c>
      <c r="Y70" s="69">
        <v>14929</v>
      </c>
      <c r="Z70" s="56">
        <v>17246</v>
      </c>
      <c r="AA70" s="80">
        <v>17271</v>
      </c>
      <c r="AB70" s="80">
        <v>18958</v>
      </c>
      <c r="AC70" s="60"/>
      <c r="AD70" s="60"/>
      <c r="AE70" s="68">
        <v>19150</v>
      </c>
      <c r="AF70" s="69">
        <v>19941</v>
      </c>
    </row>
    <row r="71" spans="1:32" x14ac:dyDescent="0.25">
      <c r="A71" s="19" t="s">
        <v>1</v>
      </c>
      <c r="B71" s="63"/>
      <c r="C71" s="52">
        <v>861</v>
      </c>
      <c r="D71" s="52">
        <f>C71+861</f>
        <v>1722</v>
      </c>
      <c r="E71" s="52">
        <f t="shared" ref="E71:G71" si="47">D71+861</f>
        <v>2583</v>
      </c>
      <c r="F71" s="52">
        <f t="shared" si="47"/>
        <v>3444</v>
      </c>
      <c r="G71" s="52">
        <f t="shared" si="47"/>
        <v>4305</v>
      </c>
      <c r="H71" s="63"/>
      <c r="I71" s="63"/>
      <c r="J71" s="70">
        <f>G71+861</f>
        <v>5166</v>
      </c>
      <c r="K71" s="71">
        <f>J71+861</f>
        <v>6027</v>
      </c>
      <c r="L71" s="71">
        <f t="shared" ref="L71:N71" si="48">K71+861</f>
        <v>6888</v>
      </c>
      <c r="M71" s="71">
        <f t="shared" si="48"/>
        <v>7749</v>
      </c>
      <c r="N71" s="71">
        <f t="shared" si="48"/>
        <v>8610</v>
      </c>
      <c r="O71" s="63"/>
      <c r="P71" s="63"/>
      <c r="Q71" s="70">
        <f>N71+861</f>
        <v>9471</v>
      </c>
      <c r="R71" s="71">
        <f>Q71+861</f>
        <v>10332</v>
      </c>
      <c r="S71" s="71">
        <f t="shared" ref="S71:U71" si="49">R71+861</f>
        <v>11193</v>
      </c>
      <c r="T71" s="71">
        <f>S71+861</f>
        <v>12054</v>
      </c>
      <c r="U71" s="71">
        <f t="shared" si="49"/>
        <v>12915</v>
      </c>
      <c r="V71" s="63"/>
      <c r="W71" s="63"/>
      <c r="X71" s="70">
        <f>U71+861</f>
        <v>13776</v>
      </c>
      <c r="Y71" s="71">
        <f>X71+861</f>
        <v>14637</v>
      </c>
      <c r="Z71" s="71">
        <f t="shared" ref="Z71:AB71" si="50">Y71+861</f>
        <v>15498</v>
      </c>
      <c r="AA71" s="71">
        <f t="shared" si="50"/>
        <v>16359</v>
      </c>
      <c r="AB71" s="71">
        <f t="shared" si="50"/>
        <v>17220</v>
      </c>
      <c r="AC71" s="63"/>
      <c r="AD71" s="63"/>
      <c r="AE71" s="83">
        <f>AB71+861</f>
        <v>18081</v>
      </c>
      <c r="AF71" s="81">
        <f>AE71+861</f>
        <v>18942</v>
      </c>
    </row>
    <row r="72" spans="1:32" x14ac:dyDescent="0.25">
      <c r="A72" s="19" t="s">
        <v>2</v>
      </c>
      <c r="B72" s="15"/>
      <c r="C72" s="4">
        <f>C70/C71</f>
        <v>7.0847851335656215E-2</v>
      </c>
      <c r="D72" s="4">
        <f t="shared" ref="D72:AF72" si="51">D70/D71</f>
        <v>3.5423925667828107E-2</v>
      </c>
      <c r="E72" s="4">
        <f t="shared" si="51"/>
        <v>2.3615950445218737E-2</v>
      </c>
      <c r="F72" s="4">
        <f t="shared" si="51"/>
        <v>0.1951219512195122</v>
      </c>
      <c r="G72" s="4">
        <f t="shared" si="51"/>
        <v>0.37514518002322883</v>
      </c>
      <c r="H72" s="15"/>
      <c r="I72" s="15"/>
      <c r="J72" s="4">
        <f t="shared" si="51"/>
        <v>0.53968253968253965</v>
      </c>
      <c r="K72" s="4">
        <f t="shared" si="51"/>
        <v>0.65903434544549522</v>
      </c>
      <c r="L72" s="4">
        <f t="shared" si="51"/>
        <v>0.75609756097560976</v>
      </c>
      <c r="M72" s="4">
        <f t="shared" si="51"/>
        <v>0.70447799716092396</v>
      </c>
      <c r="N72" s="4">
        <f t="shared" si="51"/>
        <v>0.89918699186991868</v>
      </c>
      <c r="O72" s="15"/>
      <c r="P72" s="15"/>
      <c r="Q72" s="4">
        <f t="shared" si="51"/>
        <v>0.99567099567099571</v>
      </c>
      <c r="R72" s="4">
        <f t="shared" si="51"/>
        <v>0.9443476577622919</v>
      </c>
      <c r="S72" s="4">
        <f t="shared" si="51"/>
        <v>0.89386223532565001</v>
      </c>
      <c r="T72" s="4">
        <f t="shared" si="51"/>
        <v>0.9745312759250041</v>
      </c>
      <c r="U72" s="4">
        <f t="shared" si="51"/>
        <v>0.96817653890824618</v>
      </c>
      <c r="V72" s="15"/>
      <c r="W72" s="15"/>
      <c r="X72" s="4">
        <f t="shared" si="51"/>
        <v>1.0495789779326365</v>
      </c>
      <c r="Y72" s="4">
        <f t="shared" si="51"/>
        <v>1.0199494431919109</v>
      </c>
      <c r="Z72" s="4">
        <f t="shared" si="51"/>
        <v>1.1127887469350883</v>
      </c>
      <c r="AA72" s="4">
        <f t="shared" si="51"/>
        <v>1.0557491289198606</v>
      </c>
      <c r="AB72" s="4">
        <f t="shared" si="51"/>
        <v>1.1009291521486644</v>
      </c>
      <c r="AC72" s="15"/>
      <c r="AD72" s="15"/>
      <c r="AE72" s="4">
        <f t="shared" si="51"/>
        <v>1.0591228361263205</v>
      </c>
      <c r="AF72" s="4">
        <f t="shared" si="51"/>
        <v>1.0527399429838453</v>
      </c>
    </row>
    <row r="73" spans="1:32" ht="15.75" thickBot="1" x14ac:dyDescent="0.3">
      <c r="A73" s="20"/>
      <c r="B73" s="16"/>
      <c r="C73" s="7"/>
      <c r="D73" s="7"/>
      <c r="E73" s="26"/>
      <c r="F73" s="26"/>
      <c r="G73" s="7"/>
      <c r="H73" s="16"/>
      <c r="I73" s="16"/>
      <c r="J73" s="72"/>
      <c r="K73" s="73"/>
      <c r="L73" s="7"/>
      <c r="M73" s="7"/>
      <c r="N73" s="7"/>
      <c r="O73" s="16"/>
      <c r="P73" s="16"/>
      <c r="Q73" s="72"/>
      <c r="R73" s="73"/>
      <c r="S73" s="7"/>
      <c r="T73" s="7"/>
      <c r="U73" s="7"/>
      <c r="V73" s="16"/>
      <c r="W73" s="16"/>
      <c r="X73" s="72"/>
      <c r="Y73" s="73"/>
      <c r="Z73" s="7"/>
      <c r="AA73" s="82"/>
      <c r="AB73" s="82"/>
      <c r="AC73" s="16"/>
      <c r="AD73" s="16"/>
      <c r="AE73" s="72"/>
      <c r="AF73" s="73"/>
    </row>
  </sheetData>
  <mergeCells count="1">
    <mergeCell ref="C1:W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73"/>
  <sheetViews>
    <sheetView tabSelected="1" topLeftCell="A48" zoomScale="70" zoomScaleNormal="70" workbookViewId="0">
      <selection activeCell="Y59" sqref="Y59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32" width="11.5703125" bestFit="1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/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>
        <f>22</f>
        <v>22</v>
      </c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56">
        <v>4224</v>
      </c>
      <c r="C8" s="56">
        <v>8738</v>
      </c>
      <c r="D8" s="56">
        <v>12084</v>
      </c>
      <c r="E8" s="60"/>
      <c r="F8" s="60"/>
      <c r="G8" s="56">
        <v>16018</v>
      </c>
      <c r="H8" s="56"/>
      <c r="I8" s="56"/>
      <c r="J8" s="68">
        <v>32432</v>
      </c>
      <c r="K8" s="69">
        <v>36960</v>
      </c>
      <c r="L8" s="60"/>
      <c r="M8" s="60"/>
      <c r="N8" s="56">
        <v>39628</v>
      </c>
      <c r="O8" s="56">
        <v>42436</v>
      </c>
      <c r="P8" s="59"/>
      <c r="Q8" s="68">
        <v>45212</v>
      </c>
      <c r="R8" s="69">
        <v>51102</v>
      </c>
      <c r="S8" s="60"/>
      <c r="T8" s="60"/>
      <c r="U8" s="56">
        <v>61316</v>
      </c>
      <c r="V8" s="56">
        <v>61627</v>
      </c>
      <c r="W8" s="56">
        <v>64983</v>
      </c>
      <c r="X8" s="68">
        <v>71759</v>
      </c>
      <c r="Y8" s="69">
        <v>78358</v>
      </c>
      <c r="Z8" s="60"/>
      <c r="AA8" s="86"/>
      <c r="AB8" s="80"/>
      <c r="AC8" s="56"/>
      <c r="AD8" s="56"/>
      <c r="AE8" s="68"/>
      <c r="AF8" s="69"/>
      <c r="AG8" s="58"/>
      <c r="AH8" s="2"/>
      <c r="AI8" s="2"/>
      <c r="AJ8" s="2"/>
      <c r="AK8" s="10"/>
    </row>
    <row r="9" spans="1:37" x14ac:dyDescent="0.25">
      <c r="A9" s="19" t="s">
        <v>1</v>
      </c>
      <c r="B9" s="52">
        <v>5856</v>
      </c>
      <c r="C9" s="52">
        <f>B9+5856</f>
        <v>11712</v>
      </c>
      <c r="D9" s="52">
        <f>C9+5856</f>
        <v>17568</v>
      </c>
      <c r="E9" s="63"/>
      <c r="F9" s="63"/>
      <c r="G9" s="52">
        <f>D9+5856</f>
        <v>23424</v>
      </c>
      <c r="H9" s="52">
        <f>G9+5856</f>
        <v>29280</v>
      </c>
      <c r="I9" s="52">
        <f t="shared" ref="I9:K9" si="0">H9+5856</f>
        <v>35136</v>
      </c>
      <c r="J9" s="52">
        <f t="shared" si="0"/>
        <v>40992</v>
      </c>
      <c r="K9" s="52">
        <f t="shared" si="0"/>
        <v>46848</v>
      </c>
      <c r="L9" s="85"/>
      <c r="M9" s="85"/>
      <c r="N9" s="71">
        <f>K9+5856</f>
        <v>52704</v>
      </c>
      <c r="O9" s="52">
        <f>N9+5856</f>
        <v>58560</v>
      </c>
      <c r="P9" s="62"/>
      <c r="Q9" s="70">
        <f>O9+5856</f>
        <v>64416</v>
      </c>
      <c r="R9" s="71">
        <f>Q9+5856</f>
        <v>70272</v>
      </c>
      <c r="S9" s="85"/>
      <c r="T9" s="85"/>
      <c r="U9" s="71">
        <f>R9+5856</f>
        <v>76128</v>
      </c>
      <c r="V9" s="52">
        <f>U9+5856</f>
        <v>81984</v>
      </c>
      <c r="W9" s="52">
        <f t="shared" ref="W9:Y9" si="1">V9+5856</f>
        <v>87840</v>
      </c>
      <c r="X9" s="52">
        <f t="shared" si="1"/>
        <v>93696</v>
      </c>
      <c r="Y9" s="52">
        <f t="shared" si="1"/>
        <v>99552</v>
      </c>
      <c r="Z9" s="85"/>
      <c r="AA9" s="85"/>
      <c r="AB9" s="71">
        <f>Y9+5856</f>
        <v>105408</v>
      </c>
      <c r="AC9" s="52">
        <f>AB9+5856</f>
        <v>111264</v>
      </c>
      <c r="AD9" s="52">
        <f t="shared" ref="AD9:AF9" si="2">AC9+5856</f>
        <v>117120</v>
      </c>
      <c r="AE9" s="52">
        <f t="shared" si="2"/>
        <v>122976</v>
      </c>
      <c r="AF9" s="52">
        <f t="shared" si="2"/>
        <v>128832</v>
      </c>
      <c r="AG9" s="58"/>
      <c r="AH9" s="2"/>
      <c r="AI9" s="2"/>
      <c r="AJ9" s="2"/>
      <c r="AK9" s="2"/>
    </row>
    <row r="10" spans="1:37" x14ac:dyDescent="0.25">
      <c r="A10" s="19" t="s">
        <v>2</v>
      </c>
      <c r="B10" s="4">
        <f>B8/B9</f>
        <v>0.72131147540983609</v>
      </c>
      <c r="C10" s="4">
        <f t="shared" ref="C10:AF10" si="3">C8/C9</f>
        <v>0.74607240437158473</v>
      </c>
      <c r="D10" s="4">
        <f t="shared" si="3"/>
        <v>0.68784153005464477</v>
      </c>
      <c r="E10" s="15"/>
      <c r="F10" s="15"/>
      <c r="G10" s="4">
        <f t="shared" si="3"/>
        <v>0.68382855191256831</v>
      </c>
      <c r="H10" s="4">
        <f t="shared" si="3"/>
        <v>0</v>
      </c>
      <c r="I10" s="4">
        <f t="shared" si="3"/>
        <v>0</v>
      </c>
      <c r="J10" s="4">
        <f t="shared" si="3"/>
        <v>0.79117876658860264</v>
      </c>
      <c r="K10" s="4">
        <f t="shared" si="3"/>
        <v>0.78893442622950816</v>
      </c>
      <c r="L10" s="15"/>
      <c r="M10" s="15"/>
      <c r="N10" s="4">
        <f t="shared" si="3"/>
        <v>0.75189738919247118</v>
      </c>
      <c r="O10" s="4">
        <f t="shared" si="3"/>
        <v>0.72465846994535521</v>
      </c>
      <c r="P10" s="53"/>
      <c r="Q10" s="4">
        <f t="shared" si="3"/>
        <v>0.70187531048186791</v>
      </c>
      <c r="R10" s="4">
        <f t="shared" si="3"/>
        <v>0.72720286885245899</v>
      </c>
      <c r="S10" s="15"/>
      <c r="T10" s="15"/>
      <c r="U10" s="4">
        <f t="shared" si="3"/>
        <v>0.80543295502311896</v>
      </c>
      <c r="V10" s="4">
        <f t="shared" si="3"/>
        <v>0.75169545277127248</v>
      </c>
      <c r="W10" s="4">
        <f t="shared" si="3"/>
        <v>0.73978825136612025</v>
      </c>
      <c r="X10" s="4">
        <f t="shared" si="3"/>
        <v>0.76587047472677594</v>
      </c>
      <c r="Y10" s="4">
        <f t="shared" si="3"/>
        <v>0.7871062359369978</v>
      </c>
      <c r="Z10" s="15"/>
      <c r="AA10" s="15"/>
      <c r="AB10" s="4">
        <f t="shared" si="3"/>
        <v>0</v>
      </c>
      <c r="AC10" s="4">
        <f t="shared" si="3"/>
        <v>0</v>
      </c>
      <c r="AD10" s="4">
        <f t="shared" si="3"/>
        <v>0</v>
      </c>
      <c r="AE10" s="4">
        <f t="shared" si="3"/>
        <v>0</v>
      </c>
      <c r="AF10" s="4">
        <f t="shared" si="3"/>
        <v>0</v>
      </c>
      <c r="AG10" s="11"/>
      <c r="AH10" s="11"/>
      <c r="AI10" s="11"/>
      <c r="AJ10" s="11"/>
      <c r="AK10" s="11"/>
    </row>
    <row r="11" spans="1:37" ht="15.75" thickBot="1" x14ac:dyDescent="0.3">
      <c r="A11" s="20"/>
      <c r="B11" s="7"/>
      <c r="C11" s="7"/>
      <c r="D11" s="7"/>
      <c r="E11" s="88"/>
      <c r="F11" s="88"/>
      <c r="G11" s="7"/>
      <c r="H11" s="7"/>
      <c r="I11" s="7"/>
      <c r="J11" s="72"/>
      <c r="K11" s="73"/>
      <c r="L11" s="16"/>
      <c r="M11" s="16"/>
      <c r="N11" s="7"/>
      <c r="O11" s="7"/>
      <c r="P11" s="54"/>
      <c r="Q11" s="72"/>
      <c r="R11" s="73"/>
      <c r="S11" s="16"/>
      <c r="T11" s="16"/>
      <c r="U11" s="7"/>
      <c r="V11" s="7"/>
      <c r="W11" s="7"/>
      <c r="X11" s="72"/>
      <c r="Y11" s="73"/>
      <c r="Z11" s="16"/>
      <c r="AA11" s="87"/>
      <c r="AB11" s="82"/>
      <c r="AC11" s="7"/>
      <c r="AD11" s="7"/>
      <c r="AE11" s="72"/>
      <c r="AF11" s="73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1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1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56">
        <v>329</v>
      </c>
      <c r="C15" s="56">
        <v>647</v>
      </c>
      <c r="D15" s="56">
        <v>930</v>
      </c>
      <c r="E15" s="60"/>
      <c r="F15" s="60"/>
      <c r="G15" s="56">
        <v>2786</v>
      </c>
      <c r="H15" s="56"/>
      <c r="I15" s="56"/>
      <c r="J15" s="68">
        <v>3893</v>
      </c>
      <c r="K15" s="69">
        <v>3226</v>
      </c>
      <c r="L15" s="60"/>
      <c r="M15" s="60"/>
      <c r="N15" s="56">
        <v>5488</v>
      </c>
      <c r="O15" s="56">
        <v>5744</v>
      </c>
      <c r="P15" s="59"/>
      <c r="Q15" s="68">
        <v>5744</v>
      </c>
      <c r="R15" s="69">
        <v>6098</v>
      </c>
      <c r="S15" s="60"/>
      <c r="T15" s="60"/>
      <c r="U15" s="56">
        <v>6700</v>
      </c>
      <c r="V15" s="56">
        <v>6700</v>
      </c>
      <c r="W15" s="56">
        <v>7060</v>
      </c>
      <c r="X15" s="68">
        <v>7731</v>
      </c>
      <c r="Y15" s="69">
        <v>7995</v>
      </c>
      <c r="Z15" s="60"/>
      <c r="AA15" s="86"/>
      <c r="AB15" s="80"/>
      <c r="AC15" s="56"/>
      <c r="AD15" s="56"/>
      <c r="AE15" s="68"/>
      <c r="AF15" s="69"/>
      <c r="AG15" s="32"/>
    </row>
    <row r="16" spans="1:37" x14ac:dyDescent="0.25">
      <c r="A16" s="19" t="s">
        <v>1</v>
      </c>
      <c r="B16" s="52">
        <v>792</v>
      </c>
      <c r="C16" s="52">
        <f>B16+792</f>
        <v>1584</v>
      </c>
      <c r="D16" s="52">
        <f>C16+792</f>
        <v>2376</v>
      </c>
      <c r="E16" s="63"/>
      <c r="F16" s="63"/>
      <c r="G16" s="52">
        <f>D16+792</f>
        <v>3168</v>
      </c>
      <c r="H16" s="52">
        <f>G16+792</f>
        <v>3960</v>
      </c>
      <c r="I16" s="52">
        <f t="shared" ref="I16:K16" si="4">H16+792</f>
        <v>4752</v>
      </c>
      <c r="J16" s="52">
        <f t="shared" si="4"/>
        <v>5544</v>
      </c>
      <c r="K16" s="52">
        <f t="shared" si="4"/>
        <v>6336</v>
      </c>
      <c r="L16" s="85"/>
      <c r="M16" s="85"/>
      <c r="N16" s="71">
        <f>K16+792</f>
        <v>7128</v>
      </c>
      <c r="O16" s="52">
        <f>N16+792</f>
        <v>7920</v>
      </c>
      <c r="P16" s="62"/>
      <c r="Q16" s="70">
        <f>O16+792</f>
        <v>8712</v>
      </c>
      <c r="R16" s="71">
        <f>Q16+792</f>
        <v>9504</v>
      </c>
      <c r="S16" s="85"/>
      <c r="T16" s="85"/>
      <c r="U16" s="71">
        <f>R16+792</f>
        <v>10296</v>
      </c>
      <c r="V16" s="52">
        <f>U16+792</f>
        <v>11088</v>
      </c>
      <c r="W16" s="52">
        <f t="shared" ref="W16:Y16" si="5">V16+792</f>
        <v>11880</v>
      </c>
      <c r="X16" s="52">
        <f t="shared" si="5"/>
        <v>12672</v>
      </c>
      <c r="Y16" s="52">
        <f t="shared" si="5"/>
        <v>13464</v>
      </c>
      <c r="Z16" s="85"/>
      <c r="AA16" s="85"/>
      <c r="AB16" s="71">
        <f>Y16+792</f>
        <v>14256</v>
      </c>
      <c r="AC16" s="52">
        <f>AB16+792</f>
        <v>15048</v>
      </c>
      <c r="AD16" s="52">
        <f t="shared" ref="AD16:AF16" si="6">AC16+792</f>
        <v>15840</v>
      </c>
      <c r="AE16" s="52">
        <f t="shared" si="6"/>
        <v>16632</v>
      </c>
      <c r="AF16" s="52">
        <f t="shared" si="6"/>
        <v>17424</v>
      </c>
      <c r="AG16" s="32"/>
    </row>
    <row r="17" spans="1:33" x14ac:dyDescent="0.25">
      <c r="A17" s="19" t="s">
        <v>2</v>
      </c>
      <c r="B17" s="4">
        <f>B15/B16</f>
        <v>0.41540404040404039</v>
      </c>
      <c r="C17" s="4">
        <f t="shared" ref="C17:AF17" si="7">C15/C16</f>
        <v>0.40845959595959597</v>
      </c>
      <c r="D17" s="4">
        <f t="shared" si="7"/>
        <v>0.39141414141414144</v>
      </c>
      <c r="E17" s="15"/>
      <c r="F17" s="15"/>
      <c r="G17" s="4">
        <f t="shared" si="7"/>
        <v>0.87941919191919193</v>
      </c>
      <c r="H17" s="4">
        <f t="shared" si="7"/>
        <v>0</v>
      </c>
      <c r="I17" s="4">
        <f t="shared" si="7"/>
        <v>0</v>
      </c>
      <c r="J17" s="4">
        <f t="shared" si="7"/>
        <v>0.70220057720057716</v>
      </c>
      <c r="K17" s="4">
        <f t="shared" si="7"/>
        <v>0.50915404040404044</v>
      </c>
      <c r="L17" s="15"/>
      <c r="M17" s="15"/>
      <c r="N17" s="4">
        <f t="shared" si="7"/>
        <v>0.7699214365881033</v>
      </c>
      <c r="O17" s="4">
        <f t="shared" si="7"/>
        <v>0.72525252525252526</v>
      </c>
      <c r="P17" s="53"/>
      <c r="Q17" s="4">
        <f t="shared" si="7"/>
        <v>0.65932047750229572</v>
      </c>
      <c r="R17" s="4">
        <f t="shared" si="7"/>
        <v>0.64162457912457915</v>
      </c>
      <c r="S17" s="15"/>
      <c r="T17" s="15"/>
      <c r="U17" s="4">
        <f t="shared" si="7"/>
        <v>0.65073815073815078</v>
      </c>
      <c r="V17" s="4">
        <f t="shared" si="7"/>
        <v>0.60425685425685427</v>
      </c>
      <c r="W17" s="4">
        <f t="shared" si="7"/>
        <v>0.59427609427609429</v>
      </c>
      <c r="X17" s="4">
        <f t="shared" si="7"/>
        <v>0.61008522727272729</v>
      </c>
      <c r="Y17" s="4">
        <f t="shared" si="7"/>
        <v>0.5938057040998217</v>
      </c>
      <c r="Z17" s="15"/>
      <c r="AA17" s="15"/>
      <c r="AB17" s="4">
        <f t="shared" si="7"/>
        <v>0</v>
      </c>
      <c r="AC17" s="4">
        <f t="shared" si="7"/>
        <v>0</v>
      </c>
      <c r="AD17" s="4">
        <f t="shared" si="7"/>
        <v>0</v>
      </c>
      <c r="AE17" s="4">
        <f t="shared" si="7"/>
        <v>0</v>
      </c>
      <c r="AF17" s="4">
        <f t="shared" si="7"/>
        <v>0</v>
      </c>
      <c r="AG17" s="32"/>
    </row>
    <row r="18" spans="1:33" ht="15.75" thickBot="1" x14ac:dyDescent="0.3">
      <c r="A18" s="20"/>
      <c r="B18" s="7"/>
      <c r="C18" s="7"/>
      <c r="D18" s="7"/>
      <c r="E18" s="88"/>
      <c r="F18" s="88"/>
      <c r="G18" s="7"/>
      <c r="H18" s="7"/>
      <c r="I18" s="7"/>
      <c r="J18" s="72"/>
      <c r="K18" s="73"/>
      <c r="L18" s="16"/>
      <c r="M18" s="16"/>
      <c r="N18" s="7"/>
      <c r="O18" s="7"/>
      <c r="P18" s="54"/>
      <c r="Q18" s="72"/>
      <c r="R18" s="73"/>
      <c r="S18" s="16"/>
      <c r="T18" s="16"/>
      <c r="U18" s="7"/>
      <c r="V18" s="7"/>
      <c r="W18" s="7"/>
      <c r="X18" s="72"/>
      <c r="Y18" s="73"/>
      <c r="Z18" s="16"/>
      <c r="AA18" s="87"/>
      <c r="AB18" s="82"/>
      <c r="AC18" s="7"/>
      <c r="AD18" s="7"/>
      <c r="AE18" s="72"/>
      <c r="AF18" s="73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1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14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</row>
    <row r="22" spans="1:33" x14ac:dyDescent="0.25">
      <c r="A22" s="19" t="s">
        <v>8</v>
      </c>
      <c r="B22" s="56">
        <v>1545</v>
      </c>
      <c r="C22" s="56">
        <v>3197</v>
      </c>
      <c r="D22" s="56">
        <v>5433</v>
      </c>
      <c r="E22" s="60"/>
      <c r="F22" s="60"/>
      <c r="G22" s="56">
        <v>5797</v>
      </c>
      <c r="H22" s="56"/>
      <c r="I22" s="56"/>
      <c r="J22" s="68">
        <v>10201</v>
      </c>
      <c r="K22" s="69">
        <v>11746</v>
      </c>
      <c r="L22" s="60"/>
      <c r="M22" s="60"/>
      <c r="N22" s="56">
        <v>12039</v>
      </c>
      <c r="O22" s="56">
        <v>13463</v>
      </c>
      <c r="P22" s="59"/>
      <c r="Q22" s="68">
        <v>17460</v>
      </c>
      <c r="R22" s="69">
        <v>20891</v>
      </c>
      <c r="S22" s="60"/>
      <c r="T22" s="60"/>
      <c r="U22" s="56">
        <v>23104</v>
      </c>
      <c r="V22" s="56">
        <v>25943</v>
      </c>
      <c r="W22" s="56">
        <v>28349</v>
      </c>
      <c r="X22" s="68">
        <v>33065</v>
      </c>
      <c r="Y22" s="69">
        <v>37274</v>
      </c>
      <c r="Z22" s="60"/>
      <c r="AA22" s="86"/>
      <c r="AB22" s="80"/>
      <c r="AC22" s="56"/>
      <c r="AD22" s="56"/>
      <c r="AE22" s="68"/>
      <c r="AF22" s="69"/>
      <c r="AG22" s="32"/>
    </row>
    <row r="23" spans="1:33" x14ac:dyDescent="0.25">
      <c r="A23" s="19" t="s">
        <v>1</v>
      </c>
      <c r="B23" s="52">
        <v>2877</v>
      </c>
      <c r="C23" s="52">
        <f>B23+2877</f>
        <v>5754</v>
      </c>
      <c r="D23" s="52">
        <f>C23+2877</f>
        <v>8631</v>
      </c>
      <c r="E23" s="63"/>
      <c r="F23" s="63"/>
      <c r="G23" s="52">
        <f>D23+2877</f>
        <v>11508</v>
      </c>
      <c r="H23" s="52">
        <f>G23+2877</f>
        <v>14385</v>
      </c>
      <c r="I23" s="52">
        <f t="shared" ref="I23:K23" si="8">H23+2877</f>
        <v>17262</v>
      </c>
      <c r="J23" s="52">
        <f t="shared" si="8"/>
        <v>20139</v>
      </c>
      <c r="K23" s="52">
        <f t="shared" si="8"/>
        <v>23016</v>
      </c>
      <c r="L23" s="85"/>
      <c r="M23" s="85"/>
      <c r="N23" s="71">
        <f>K23+2877</f>
        <v>25893</v>
      </c>
      <c r="O23" s="52">
        <f>N23+2877</f>
        <v>28770</v>
      </c>
      <c r="P23" s="62"/>
      <c r="Q23" s="70">
        <f>O23+2877</f>
        <v>31647</v>
      </c>
      <c r="R23" s="71">
        <f>Q23+2877</f>
        <v>34524</v>
      </c>
      <c r="S23" s="85"/>
      <c r="T23" s="85"/>
      <c r="U23" s="71">
        <f>R23+2877</f>
        <v>37401</v>
      </c>
      <c r="V23" s="52">
        <f>U23+2877</f>
        <v>40278</v>
      </c>
      <c r="W23" s="52">
        <f t="shared" ref="W23:Y23" si="9">V23+2877</f>
        <v>43155</v>
      </c>
      <c r="X23" s="52">
        <f t="shared" si="9"/>
        <v>46032</v>
      </c>
      <c r="Y23" s="52">
        <f t="shared" si="9"/>
        <v>48909</v>
      </c>
      <c r="Z23" s="85"/>
      <c r="AA23" s="85"/>
      <c r="AB23" s="71">
        <f>Y23+2877</f>
        <v>51786</v>
      </c>
      <c r="AC23" s="52">
        <f>AB23+2877</f>
        <v>54663</v>
      </c>
      <c r="AD23" s="52">
        <f t="shared" ref="AD23:AF23" si="10">AC23+2877</f>
        <v>57540</v>
      </c>
      <c r="AE23" s="52">
        <f t="shared" si="10"/>
        <v>60417</v>
      </c>
      <c r="AF23" s="52">
        <f t="shared" si="10"/>
        <v>63294</v>
      </c>
      <c r="AG23" s="32"/>
    </row>
    <row r="24" spans="1:33" x14ac:dyDescent="0.25">
      <c r="A24" s="19" t="s">
        <v>2</v>
      </c>
      <c r="B24" s="4">
        <f>B22/B23</f>
        <v>0.53701772679874871</v>
      </c>
      <c r="C24" s="4">
        <f t="shared" ref="C24:AF24" si="11">C22/C23</f>
        <v>0.55561348627042062</v>
      </c>
      <c r="D24" s="4">
        <f>D22/D23</f>
        <v>0.62947514772332291</v>
      </c>
      <c r="E24" s="15"/>
      <c r="F24" s="15"/>
      <c r="G24" s="4">
        <f>G22/G23</f>
        <v>0.50373653110879391</v>
      </c>
      <c r="H24" s="4">
        <f t="shared" si="11"/>
        <v>0</v>
      </c>
      <c r="I24" s="4">
        <f t="shared" si="11"/>
        <v>0</v>
      </c>
      <c r="J24" s="4">
        <f t="shared" si="11"/>
        <v>0.50652961914692884</v>
      </c>
      <c r="K24" s="4">
        <f t="shared" si="11"/>
        <v>0.51034063260340634</v>
      </c>
      <c r="L24" s="15"/>
      <c r="M24" s="15"/>
      <c r="N24" s="4">
        <f t="shared" si="11"/>
        <v>0.46495191750666204</v>
      </c>
      <c r="O24" s="4">
        <f t="shared" si="11"/>
        <v>0.46795272853667014</v>
      </c>
      <c r="P24" s="53"/>
      <c r="Q24" s="4">
        <f t="shared" si="11"/>
        <v>0.55171106265996772</v>
      </c>
      <c r="R24" s="4">
        <f t="shared" si="11"/>
        <v>0.60511528212258137</v>
      </c>
      <c r="S24" s="15"/>
      <c r="T24" s="15"/>
      <c r="U24" s="4">
        <f t="shared" si="11"/>
        <v>0.61773749364990238</v>
      </c>
      <c r="V24" s="4">
        <f t="shared" si="11"/>
        <v>0.64409851531853612</v>
      </c>
      <c r="W24" s="4">
        <f t="shared" si="11"/>
        <v>0.65691113428339709</v>
      </c>
      <c r="X24" s="4">
        <f t="shared" si="11"/>
        <v>0.71830465762947515</v>
      </c>
      <c r="Y24" s="4">
        <f t="shared" si="11"/>
        <v>0.76210922325134434</v>
      </c>
      <c r="Z24" s="15"/>
      <c r="AA24" s="15"/>
      <c r="AB24" s="4">
        <f t="shared" si="11"/>
        <v>0</v>
      </c>
      <c r="AC24" s="4">
        <f t="shared" si="11"/>
        <v>0</v>
      </c>
      <c r="AD24" s="4">
        <f t="shared" si="11"/>
        <v>0</v>
      </c>
      <c r="AE24" s="4">
        <f t="shared" si="11"/>
        <v>0</v>
      </c>
      <c r="AF24" s="4">
        <f t="shared" si="11"/>
        <v>0</v>
      </c>
      <c r="AG24" s="32"/>
    </row>
    <row r="25" spans="1:33" ht="15.75" thickBot="1" x14ac:dyDescent="0.3">
      <c r="A25" s="20"/>
      <c r="B25" s="7"/>
      <c r="C25" s="7"/>
      <c r="D25" s="7"/>
      <c r="E25" s="88"/>
      <c r="F25" s="88"/>
      <c r="G25" s="7"/>
      <c r="H25" s="7"/>
      <c r="I25" s="7"/>
      <c r="J25" s="72"/>
      <c r="K25" s="73"/>
      <c r="L25" s="16"/>
      <c r="M25" s="16"/>
      <c r="N25" s="7"/>
      <c r="O25" s="7"/>
      <c r="P25" s="54"/>
      <c r="Q25" s="72"/>
      <c r="R25" s="73"/>
      <c r="S25" s="16"/>
      <c r="T25" s="16"/>
      <c r="U25" s="7"/>
      <c r="V25" s="7"/>
      <c r="W25" s="7"/>
      <c r="X25" s="72"/>
      <c r="Y25" s="73"/>
      <c r="Z25" s="16"/>
      <c r="AA25" s="87"/>
      <c r="AB25" s="82"/>
      <c r="AC25" s="7"/>
      <c r="AD25" s="7"/>
      <c r="AE25" s="72"/>
      <c r="AF25" s="73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58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58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3" x14ac:dyDescent="0.25">
      <c r="A29" s="19" t="s">
        <v>8</v>
      </c>
      <c r="B29" s="56">
        <v>1198</v>
      </c>
      <c r="C29" s="56">
        <v>1530</v>
      </c>
      <c r="D29" s="56">
        <v>3184</v>
      </c>
      <c r="E29" s="60"/>
      <c r="F29" s="60"/>
      <c r="G29" s="56">
        <v>3648</v>
      </c>
      <c r="H29" s="56"/>
      <c r="I29" s="56"/>
      <c r="J29" s="68">
        <v>8030</v>
      </c>
      <c r="K29" s="69">
        <v>10262</v>
      </c>
      <c r="L29" s="60"/>
      <c r="M29" s="60"/>
      <c r="N29" s="56">
        <v>10898</v>
      </c>
      <c r="O29" s="56">
        <v>11900</v>
      </c>
      <c r="P29" s="59"/>
      <c r="Q29" s="68">
        <v>12988</v>
      </c>
      <c r="R29" s="69">
        <v>13724</v>
      </c>
      <c r="S29" s="60"/>
      <c r="T29" s="60"/>
      <c r="U29" s="56">
        <v>14836</v>
      </c>
      <c r="V29" s="56">
        <v>15479</v>
      </c>
      <c r="W29" s="56">
        <v>16811</v>
      </c>
      <c r="X29" s="68">
        <v>17315</v>
      </c>
      <c r="Y29" s="69">
        <v>20342</v>
      </c>
      <c r="Z29" s="60"/>
      <c r="AA29" s="86"/>
      <c r="AB29" s="80"/>
      <c r="AC29" s="56"/>
      <c r="AD29" s="56"/>
      <c r="AE29" s="68"/>
      <c r="AF29" s="69"/>
      <c r="AG29" s="32"/>
    </row>
    <row r="30" spans="1:33" x14ac:dyDescent="0.25">
      <c r="A30" s="19" t="s">
        <v>1</v>
      </c>
      <c r="B30" s="52">
        <v>1770</v>
      </c>
      <c r="C30" s="52">
        <f>B30+1770</f>
        <v>3540</v>
      </c>
      <c r="D30" s="52">
        <f>C30+1770</f>
        <v>5310</v>
      </c>
      <c r="E30" s="63"/>
      <c r="F30" s="63"/>
      <c r="G30" s="52">
        <f>D30+1770</f>
        <v>7080</v>
      </c>
      <c r="H30" s="52">
        <f>G30+1770</f>
        <v>8850</v>
      </c>
      <c r="I30" s="52">
        <f t="shared" ref="I30:K30" si="12">H30+1770</f>
        <v>10620</v>
      </c>
      <c r="J30" s="52">
        <f t="shared" si="12"/>
        <v>12390</v>
      </c>
      <c r="K30" s="52">
        <f t="shared" si="12"/>
        <v>14160</v>
      </c>
      <c r="L30" s="85"/>
      <c r="M30" s="85"/>
      <c r="N30" s="71">
        <f>K30+1770</f>
        <v>15930</v>
      </c>
      <c r="O30" s="52">
        <f>N30+1770</f>
        <v>17700</v>
      </c>
      <c r="P30" s="62"/>
      <c r="Q30" s="70">
        <f>O30+1770</f>
        <v>19470</v>
      </c>
      <c r="R30" s="71">
        <f>Q30+1770</f>
        <v>21240</v>
      </c>
      <c r="S30" s="85"/>
      <c r="T30" s="85"/>
      <c r="U30" s="71">
        <f>R30+1770</f>
        <v>23010</v>
      </c>
      <c r="V30" s="52">
        <f>U30+1770</f>
        <v>24780</v>
      </c>
      <c r="W30" s="52">
        <f t="shared" ref="W30:Y30" si="13">V30+1770</f>
        <v>26550</v>
      </c>
      <c r="X30" s="52">
        <f t="shared" si="13"/>
        <v>28320</v>
      </c>
      <c r="Y30" s="52">
        <f t="shared" si="13"/>
        <v>30090</v>
      </c>
      <c r="Z30" s="85"/>
      <c r="AA30" s="85"/>
      <c r="AB30" s="71">
        <f>Y30+1770</f>
        <v>31860</v>
      </c>
      <c r="AC30" s="52">
        <f>AB30+1770</f>
        <v>33630</v>
      </c>
      <c r="AD30" s="52">
        <f t="shared" ref="AD30:AF30" si="14">AC30+1770</f>
        <v>35400</v>
      </c>
      <c r="AE30" s="52">
        <f t="shared" si="14"/>
        <v>37170</v>
      </c>
      <c r="AF30" s="52">
        <f t="shared" si="14"/>
        <v>38940</v>
      </c>
      <c r="AG30" s="32"/>
    </row>
    <row r="31" spans="1:33" x14ac:dyDescent="0.25">
      <c r="A31" s="19" t="s">
        <v>2</v>
      </c>
      <c r="B31" s="4">
        <f>B29/B30</f>
        <v>0.67683615819209042</v>
      </c>
      <c r="C31" s="4">
        <f t="shared" ref="C31:AF31" si="15">C29/C30</f>
        <v>0.43220338983050849</v>
      </c>
      <c r="D31" s="4">
        <f t="shared" si="15"/>
        <v>0.59962335216572504</v>
      </c>
      <c r="E31" s="15"/>
      <c r="F31" s="15"/>
      <c r="G31" s="4">
        <f t="shared" si="15"/>
        <v>0.51525423728813557</v>
      </c>
      <c r="H31" s="4">
        <f t="shared" si="15"/>
        <v>0</v>
      </c>
      <c r="I31" s="4">
        <f t="shared" si="15"/>
        <v>0</v>
      </c>
      <c r="J31" s="4">
        <f t="shared" si="15"/>
        <v>0.64810330912025826</v>
      </c>
      <c r="K31" s="4">
        <f t="shared" si="15"/>
        <v>0.72471751412429375</v>
      </c>
      <c r="L31" s="15"/>
      <c r="M31" s="15"/>
      <c r="N31" s="4">
        <f t="shared" si="15"/>
        <v>0.68411801632140612</v>
      </c>
      <c r="O31" s="4">
        <f t="shared" si="15"/>
        <v>0.67231638418079098</v>
      </c>
      <c r="P31" s="53"/>
      <c r="Q31" s="4">
        <f t="shared" si="15"/>
        <v>0.66707755521314849</v>
      </c>
      <c r="R31" s="4">
        <f t="shared" si="15"/>
        <v>0.64613935969868175</v>
      </c>
      <c r="S31" s="15"/>
      <c r="T31" s="15"/>
      <c r="U31" s="4">
        <f t="shared" si="15"/>
        <v>0.64476314645806176</v>
      </c>
      <c r="V31" s="4">
        <f t="shared" si="15"/>
        <v>0.6246569814366425</v>
      </c>
      <c r="W31" s="4">
        <f t="shared" si="15"/>
        <v>0.63318267419962337</v>
      </c>
      <c r="X31" s="4">
        <f t="shared" si="15"/>
        <v>0.61140536723163841</v>
      </c>
      <c r="Y31" s="4">
        <f t="shared" si="15"/>
        <v>0.67603855101362575</v>
      </c>
      <c r="Z31" s="15"/>
      <c r="AA31" s="15"/>
      <c r="AB31" s="4">
        <f t="shared" si="15"/>
        <v>0</v>
      </c>
      <c r="AC31" s="4">
        <f t="shared" si="15"/>
        <v>0</v>
      </c>
      <c r="AD31" s="4">
        <f t="shared" si="15"/>
        <v>0</v>
      </c>
      <c r="AE31" s="4">
        <f t="shared" si="15"/>
        <v>0</v>
      </c>
      <c r="AF31" s="4">
        <f t="shared" si="15"/>
        <v>0</v>
      </c>
      <c r="AG31" s="32"/>
    </row>
    <row r="32" spans="1:33" ht="15.75" thickBot="1" x14ac:dyDescent="0.3">
      <c r="A32" s="20"/>
      <c r="B32" s="7"/>
      <c r="C32" s="7"/>
      <c r="D32" s="7"/>
      <c r="E32" s="88"/>
      <c r="F32" s="88"/>
      <c r="G32" s="7"/>
      <c r="H32" s="7"/>
      <c r="I32" s="7"/>
      <c r="J32" s="72"/>
      <c r="K32" s="73"/>
      <c r="L32" s="16"/>
      <c r="M32" s="16"/>
      <c r="N32" s="7"/>
      <c r="O32" s="7"/>
      <c r="P32" s="54"/>
      <c r="Q32" s="72"/>
      <c r="R32" s="73"/>
      <c r="S32" s="16"/>
      <c r="T32" s="16"/>
      <c r="U32" s="7"/>
      <c r="V32" s="7"/>
      <c r="W32" s="7"/>
      <c r="X32" s="72"/>
      <c r="Y32" s="73"/>
      <c r="Z32" s="16"/>
      <c r="AA32" s="87"/>
      <c r="AB32" s="82"/>
      <c r="AC32" s="7"/>
      <c r="AD32" s="7"/>
      <c r="AE32" s="72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56">
        <v>674</v>
      </c>
      <c r="C36" s="56">
        <v>2568</v>
      </c>
      <c r="D36" s="56">
        <v>3606</v>
      </c>
      <c r="E36" s="60"/>
      <c r="F36" s="60"/>
      <c r="G36" s="56">
        <v>6374</v>
      </c>
      <c r="H36" s="56"/>
      <c r="I36" s="56"/>
      <c r="J36" s="68">
        <v>13123</v>
      </c>
      <c r="K36" s="69">
        <v>14976</v>
      </c>
      <c r="L36" s="60"/>
      <c r="M36" s="60"/>
      <c r="N36" s="56">
        <v>16562</v>
      </c>
      <c r="O36" s="56">
        <v>18248</v>
      </c>
      <c r="P36" s="59"/>
      <c r="Q36" s="68">
        <v>20657</v>
      </c>
      <c r="R36" s="69">
        <v>23915</v>
      </c>
      <c r="S36" s="60"/>
      <c r="T36" s="60"/>
      <c r="U36" s="56">
        <v>25226</v>
      </c>
      <c r="V36" s="56">
        <v>29709</v>
      </c>
      <c r="W36" s="56">
        <v>31768</v>
      </c>
      <c r="X36" s="68">
        <v>33958</v>
      </c>
      <c r="Y36" s="69">
        <v>36316</v>
      </c>
      <c r="Z36" s="60"/>
      <c r="AA36" s="86"/>
      <c r="AB36" s="80"/>
      <c r="AC36" s="56"/>
      <c r="AD36" s="56"/>
      <c r="AE36" s="68"/>
      <c r="AF36" s="69"/>
      <c r="AG36" s="32"/>
    </row>
    <row r="37" spans="1:33" x14ac:dyDescent="0.25">
      <c r="A37" s="19" t="s">
        <v>1</v>
      </c>
      <c r="B37" s="52">
        <f>3262</f>
        <v>3262</v>
      </c>
      <c r="C37" s="52">
        <f>B37+3262</f>
        <v>6524</v>
      </c>
      <c r="D37" s="52">
        <f>C37+3262</f>
        <v>9786</v>
      </c>
      <c r="E37" s="63"/>
      <c r="F37" s="63"/>
      <c r="G37" s="52">
        <f>D37+3262</f>
        <v>13048</v>
      </c>
      <c r="H37" s="52">
        <f>G37+3262</f>
        <v>16310</v>
      </c>
      <c r="I37" s="52">
        <f t="shared" ref="I37:K37" si="16">H37+3262</f>
        <v>19572</v>
      </c>
      <c r="J37" s="52">
        <f t="shared" si="16"/>
        <v>22834</v>
      </c>
      <c r="K37" s="52">
        <f t="shared" si="16"/>
        <v>26096</v>
      </c>
      <c r="L37" s="85"/>
      <c r="M37" s="85"/>
      <c r="N37" s="71">
        <f>K37+3262</f>
        <v>29358</v>
      </c>
      <c r="O37" s="71">
        <f>N37+3262</f>
        <v>32620</v>
      </c>
      <c r="P37" s="62"/>
      <c r="Q37" s="70">
        <f>O37+3262</f>
        <v>35882</v>
      </c>
      <c r="R37" s="71">
        <f>Q37+3262</f>
        <v>39144</v>
      </c>
      <c r="S37" s="85"/>
      <c r="T37" s="85"/>
      <c r="U37" s="71">
        <f>R37+3262</f>
        <v>42406</v>
      </c>
      <c r="V37" s="52">
        <f>U37+3262</f>
        <v>45668</v>
      </c>
      <c r="W37" s="52">
        <f t="shared" ref="W37:Y37" si="17">V37+3262</f>
        <v>48930</v>
      </c>
      <c r="X37" s="52">
        <f t="shared" si="17"/>
        <v>52192</v>
      </c>
      <c r="Y37" s="52">
        <f t="shared" si="17"/>
        <v>55454</v>
      </c>
      <c r="Z37" s="85"/>
      <c r="AA37" s="85"/>
      <c r="AB37" s="71">
        <f>Y37+3262</f>
        <v>58716</v>
      </c>
      <c r="AC37" s="52">
        <f>AB37+3262</f>
        <v>61978</v>
      </c>
      <c r="AD37" s="52">
        <f t="shared" ref="AD37:AF37" si="18">AC37+3262</f>
        <v>65240</v>
      </c>
      <c r="AE37" s="52">
        <f t="shared" si="18"/>
        <v>68502</v>
      </c>
      <c r="AF37" s="52">
        <f t="shared" si="18"/>
        <v>71764</v>
      </c>
      <c r="AG37" s="32"/>
    </row>
    <row r="38" spans="1:33" x14ac:dyDescent="0.25">
      <c r="A38" s="19" t="s">
        <v>2</v>
      </c>
      <c r="B38" s="4">
        <f>B36/B37</f>
        <v>0.20662170447578174</v>
      </c>
      <c r="C38" s="4">
        <f t="shared" ref="C38:AF38" si="19">C36/C37</f>
        <v>0.39362354383813614</v>
      </c>
      <c r="D38" s="4">
        <f t="shared" si="19"/>
        <v>0.36848559166155731</v>
      </c>
      <c r="E38" s="15"/>
      <c r="F38" s="15"/>
      <c r="G38" s="4">
        <f t="shared" si="19"/>
        <v>0.48850398528510114</v>
      </c>
      <c r="H38" s="4">
        <f t="shared" si="19"/>
        <v>0</v>
      </c>
      <c r="I38" s="4">
        <f t="shared" si="19"/>
        <v>0</v>
      </c>
      <c r="J38" s="4">
        <f t="shared" si="19"/>
        <v>0.57471314706139964</v>
      </c>
      <c r="K38" s="4">
        <f t="shared" si="19"/>
        <v>0.57388105456774985</v>
      </c>
      <c r="L38" s="15"/>
      <c r="M38" s="15"/>
      <c r="N38" s="4">
        <f t="shared" si="19"/>
        <v>0.56413924654268</v>
      </c>
      <c r="O38" s="4">
        <f t="shared" si="19"/>
        <v>0.55941140404659717</v>
      </c>
      <c r="P38" s="53"/>
      <c r="Q38" s="4">
        <f t="shared" si="19"/>
        <v>0.57569254779555212</v>
      </c>
      <c r="R38" s="4">
        <f t="shared" si="19"/>
        <v>0.61094931534845698</v>
      </c>
      <c r="S38" s="15"/>
      <c r="T38" s="15"/>
      <c r="U38" s="4">
        <f t="shared" si="19"/>
        <v>0.59486865066264205</v>
      </c>
      <c r="V38" s="4">
        <f t="shared" si="19"/>
        <v>0.65054304983796096</v>
      </c>
      <c r="W38" s="4">
        <f t="shared" si="19"/>
        <v>0.64925403637849988</v>
      </c>
      <c r="X38" s="4">
        <f t="shared" si="19"/>
        <v>0.6506361128142244</v>
      </c>
      <c r="Y38" s="4">
        <f t="shared" si="19"/>
        <v>0.65488513001767235</v>
      </c>
      <c r="Z38" s="15"/>
      <c r="AA38" s="15"/>
      <c r="AB38" s="4">
        <f t="shared" si="19"/>
        <v>0</v>
      </c>
      <c r="AC38" s="4">
        <f t="shared" si="19"/>
        <v>0</v>
      </c>
      <c r="AD38" s="4">
        <f t="shared" si="19"/>
        <v>0</v>
      </c>
      <c r="AE38" s="4">
        <f t="shared" si="19"/>
        <v>0</v>
      </c>
      <c r="AF38" s="4">
        <f t="shared" si="19"/>
        <v>0</v>
      </c>
      <c r="AG38" s="32"/>
    </row>
    <row r="39" spans="1:33" ht="15.75" thickBot="1" x14ac:dyDescent="0.3">
      <c r="A39" s="20"/>
      <c r="B39" s="7"/>
      <c r="C39" s="7"/>
      <c r="D39" s="7"/>
      <c r="E39" s="88"/>
      <c r="F39" s="88"/>
      <c r="G39" s="7"/>
      <c r="H39" s="7"/>
      <c r="I39" s="7"/>
      <c r="J39" s="72"/>
      <c r="K39" s="73"/>
      <c r="L39" s="16"/>
      <c r="M39" s="16"/>
      <c r="N39" s="7"/>
      <c r="O39" s="7"/>
      <c r="P39" s="54"/>
      <c r="Q39" s="72"/>
      <c r="R39" s="73"/>
      <c r="S39" s="16"/>
      <c r="T39" s="16"/>
      <c r="U39" s="7"/>
      <c r="V39" s="7"/>
      <c r="W39" s="7"/>
      <c r="X39" s="72"/>
      <c r="Y39" s="73"/>
      <c r="Z39" s="16"/>
      <c r="AA39" s="87"/>
      <c r="AB39" s="82"/>
      <c r="AC39" s="7"/>
      <c r="AD39" s="7"/>
      <c r="AE39" s="72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56">
        <v>408</v>
      </c>
      <c r="C43" s="56">
        <v>408</v>
      </c>
      <c r="D43" s="56">
        <v>408</v>
      </c>
      <c r="E43" s="60"/>
      <c r="F43" s="60"/>
      <c r="G43" s="56">
        <v>576</v>
      </c>
      <c r="H43" s="56"/>
      <c r="I43" s="56"/>
      <c r="J43" s="68">
        <v>576</v>
      </c>
      <c r="K43" s="69">
        <v>576</v>
      </c>
      <c r="L43" s="60"/>
      <c r="M43" s="60"/>
      <c r="N43" s="56">
        <v>576</v>
      </c>
      <c r="O43" s="56">
        <v>576</v>
      </c>
      <c r="P43" s="59"/>
      <c r="Q43" s="68">
        <v>576</v>
      </c>
      <c r="R43" s="69">
        <v>576</v>
      </c>
      <c r="S43" s="60"/>
      <c r="T43" s="60"/>
      <c r="U43" s="56">
        <v>4958</v>
      </c>
      <c r="V43" s="56">
        <v>5458</v>
      </c>
      <c r="W43" s="56">
        <v>5574</v>
      </c>
      <c r="X43" s="68">
        <v>5612</v>
      </c>
      <c r="Y43" s="69">
        <v>6054</v>
      </c>
      <c r="Z43" s="60"/>
      <c r="AA43" s="86"/>
      <c r="AB43" s="80"/>
      <c r="AC43" s="56"/>
      <c r="AD43" s="56"/>
      <c r="AE43" s="68"/>
      <c r="AF43" s="69"/>
      <c r="AG43" s="32"/>
    </row>
    <row r="44" spans="1:33" x14ac:dyDescent="0.25">
      <c r="A44" s="19" t="s">
        <v>1</v>
      </c>
      <c r="B44" s="52">
        <v>731</v>
      </c>
      <c r="C44" s="52">
        <f>B44+731</f>
        <v>1462</v>
      </c>
      <c r="D44" s="52">
        <f>C44+731</f>
        <v>2193</v>
      </c>
      <c r="E44" s="63"/>
      <c r="F44" s="63"/>
      <c r="G44" s="52">
        <f>D44+731</f>
        <v>2924</v>
      </c>
      <c r="H44" s="52">
        <f>G44+731</f>
        <v>3655</v>
      </c>
      <c r="I44" s="52">
        <f t="shared" ref="I44:K44" si="20">H44+731</f>
        <v>4386</v>
      </c>
      <c r="J44" s="52">
        <f t="shared" si="20"/>
        <v>5117</v>
      </c>
      <c r="K44" s="52">
        <f t="shared" si="20"/>
        <v>5848</v>
      </c>
      <c r="L44" s="85"/>
      <c r="M44" s="85"/>
      <c r="N44" s="71">
        <f>K44+731</f>
        <v>6579</v>
      </c>
      <c r="O44" s="52">
        <f>N44+731</f>
        <v>7310</v>
      </c>
      <c r="P44" s="62"/>
      <c r="Q44" s="70">
        <f>O44+731</f>
        <v>8041</v>
      </c>
      <c r="R44" s="70">
        <f>Q44+731</f>
        <v>8772</v>
      </c>
      <c r="S44" s="85"/>
      <c r="T44" s="85"/>
      <c r="U44" s="71">
        <f>R44+731</f>
        <v>9503</v>
      </c>
      <c r="V44" s="52">
        <f>U44+731</f>
        <v>10234</v>
      </c>
      <c r="W44" s="52">
        <f t="shared" ref="W44:Y44" si="21">V44+731</f>
        <v>10965</v>
      </c>
      <c r="X44" s="52">
        <f t="shared" si="21"/>
        <v>11696</v>
      </c>
      <c r="Y44" s="52">
        <f t="shared" si="21"/>
        <v>12427</v>
      </c>
      <c r="Z44" s="85"/>
      <c r="AA44" s="85"/>
      <c r="AB44" s="71">
        <f>Y44+731</f>
        <v>13158</v>
      </c>
      <c r="AC44" s="52">
        <f>AB44+731</f>
        <v>13889</v>
      </c>
      <c r="AD44" s="52">
        <f t="shared" ref="AD44:AF44" si="22">AC44+731</f>
        <v>14620</v>
      </c>
      <c r="AE44" s="52">
        <f t="shared" si="22"/>
        <v>15351</v>
      </c>
      <c r="AF44" s="52">
        <f t="shared" si="22"/>
        <v>16082</v>
      </c>
      <c r="AG44" s="32"/>
    </row>
    <row r="45" spans="1:33" x14ac:dyDescent="0.25">
      <c r="A45" s="19" t="s">
        <v>2</v>
      </c>
      <c r="B45" s="4">
        <f>B43/B44</f>
        <v>0.55813953488372092</v>
      </c>
      <c r="C45" s="4">
        <f t="shared" ref="C45:AF45" si="23">C43/C44</f>
        <v>0.27906976744186046</v>
      </c>
      <c r="D45" s="4">
        <f t="shared" si="23"/>
        <v>0.18604651162790697</v>
      </c>
      <c r="E45" s="15"/>
      <c r="F45" s="15"/>
      <c r="G45" s="4">
        <f t="shared" si="23"/>
        <v>0.19699042407660738</v>
      </c>
      <c r="H45" s="4">
        <f t="shared" si="23"/>
        <v>0</v>
      </c>
      <c r="I45" s="4">
        <f t="shared" si="23"/>
        <v>0</v>
      </c>
      <c r="J45" s="4">
        <f t="shared" si="23"/>
        <v>0.11256595661520422</v>
      </c>
      <c r="K45" s="4">
        <f t="shared" si="23"/>
        <v>9.8495212038303692E-2</v>
      </c>
      <c r="L45" s="15"/>
      <c r="M45" s="15"/>
      <c r="N45" s="4">
        <f t="shared" si="23"/>
        <v>8.7551299589603282E-2</v>
      </c>
      <c r="O45" s="4">
        <f t="shared" si="23"/>
        <v>7.8796169630642954E-2</v>
      </c>
      <c r="P45" s="53"/>
      <c r="Q45" s="4">
        <f t="shared" si="23"/>
        <v>7.1632881482402683E-2</v>
      </c>
      <c r="R45" s="4">
        <f t="shared" si="23"/>
        <v>6.5663474692202461E-2</v>
      </c>
      <c r="S45" s="15"/>
      <c r="T45" s="15"/>
      <c r="U45" s="4">
        <f t="shared" si="23"/>
        <v>0.52172998000631376</v>
      </c>
      <c r="V45" s="4">
        <f t="shared" si="23"/>
        <v>0.53332030486613247</v>
      </c>
      <c r="W45" s="4">
        <f t="shared" si="23"/>
        <v>0.50834473324213403</v>
      </c>
      <c r="X45" s="4">
        <f t="shared" si="23"/>
        <v>0.47982216142270862</v>
      </c>
      <c r="Y45" s="4">
        <f t="shared" si="23"/>
        <v>0.48716504385611975</v>
      </c>
      <c r="Z45" s="15"/>
      <c r="AA45" s="15"/>
      <c r="AB45" s="4">
        <f t="shared" si="23"/>
        <v>0</v>
      </c>
      <c r="AC45" s="4">
        <f t="shared" si="23"/>
        <v>0</v>
      </c>
      <c r="AD45" s="4">
        <f t="shared" si="23"/>
        <v>0</v>
      </c>
      <c r="AE45" s="4">
        <f t="shared" si="23"/>
        <v>0</v>
      </c>
      <c r="AF45" s="4">
        <f t="shared" si="23"/>
        <v>0</v>
      </c>
      <c r="AG45" s="32"/>
    </row>
    <row r="46" spans="1:33" ht="15.75" thickBot="1" x14ac:dyDescent="0.3">
      <c r="A46" s="20"/>
      <c r="B46" s="7"/>
      <c r="C46" s="7"/>
      <c r="D46" s="7"/>
      <c r="E46" s="88"/>
      <c r="F46" s="88"/>
      <c r="G46" s="7"/>
      <c r="H46" s="7"/>
      <c r="I46" s="7"/>
      <c r="J46" s="72"/>
      <c r="K46" s="73"/>
      <c r="L46" s="16"/>
      <c r="M46" s="16"/>
      <c r="N46" s="7"/>
      <c r="O46" s="7"/>
      <c r="P46" s="54"/>
      <c r="Q46" s="72"/>
      <c r="R46" s="73"/>
      <c r="S46" s="16"/>
      <c r="T46" s="16"/>
      <c r="U46" s="7"/>
      <c r="V46" s="7"/>
      <c r="W46" s="7"/>
      <c r="X46" s="72"/>
      <c r="Y46" s="73"/>
      <c r="Z46" s="16"/>
      <c r="AA46" s="87"/>
      <c r="AB46" s="82"/>
      <c r="AC46" s="7"/>
      <c r="AD46" s="7"/>
      <c r="AE46" s="72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56">
        <v>1151</v>
      </c>
      <c r="C49" s="56">
        <v>1607</v>
      </c>
      <c r="D49" s="56">
        <v>2022</v>
      </c>
      <c r="E49" s="60"/>
      <c r="F49" s="60"/>
      <c r="G49" s="56">
        <v>2687</v>
      </c>
      <c r="H49" s="56"/>
      <c r="I49" s="56"/>
      <c r="J49" s="68">
        <v>4353</v>
      </c>
      <c r="K49" s="69">
        <v>4633</v>
      </c>
      <c r="L49" s="60"/>
      <c r="M49" s="60"/>
      <c r="N49" s="59"/>
      <c r="O49" s="59"/>
      <c r="P49" s="59"/>
      <c r="Q49" s="94"/>
      <c r="R49" s="74"/>
      <c r="S49" s="60"/>
      <c r="T49" s="60"/>
      <c r="U49" s="59"/>
      <c r="V49" s="59"/>
      <c r="W49" s="59"/>
      <c r="X49" s="94"/>
      <c r="Y49" s="74"/>
      <c r="Z49" s="60"/>
      <c r="AA49" s="86"/>
      <c r="AB49" s="92"/>
      <c r="AC49" s="59"/>
      <c r="AD49" s="59"/>
      <c r="AE49" s="94"/>
      <c r="AF49" s="74"/>
      <c r="AG49" s="32"/>
    </row>
    <row r="50" spans="1:33" x14ac:dyDescent="0.25">
      <c r="A50" s="19" t="s">
        <v>1</v>
      </c>
      <c r="B50" s="52">
        <v>515</v>
      </c>
      <c r="C50" s="52">
        <f>B50+515</f>
        <v>1030</v>
      </c>
      <c r="D50" s="52">
        <f>C50+515</f>
        <v>1545</v>
      </c>
      <c r="E50" s="63"/>
      <c r="F50" s="63"/>
      <c r="G50" s="52">
        <f>D50+515</f>
        <v>2060</v>
      </c>
      <c r="H50" s="52">
        <f>G50+515</f>
        <v>2575</v>
      </c>
      <c r="I50" s="52">
        <f t="shared" ref="I50:K50" si="24">H50+515</f>
        <v>3090</v>
      </c>
      <c r="J50" s="52">
        <f t="shared" si="24"/>
        <v>3605</v>
      </c>
      <c r="K50" s="52">
        <f t="shared" si="24"/>
        <v>4120</v>
      </c>
      <c r="L50" s="85"/>
      <c r="M50" s="85"/>
      <c r="N50" s="75"/>
      <c r="O50" s="62"/>
      <c r="P50" s="62"/>
      <c r="Q50" s="77"/>
      <c r="R50" s="75"/>
      <c r="S50" s="85"/>
      <c r="T50" s="85"/>
      <c r="U50" s="75"/>
      <c r="V50" s="62"/>
      <c r="W50" s="62"/>
      <c r="X50" s="77"/>
      <c r="Y50" s="75"/>
      <c r="Z50" s="85"/>
      <c r="AA50" s="85"/>
      <c r="AB50" s="75"/>
      <c r="AC50" s="62"/>
      <c r="AD50" s="62"/>
      <c r="AE50" s="96"/>
      <c r="AF50" s="97"/>
      <c r="AG50" s="32"/>
    </row>
    <row r="51" spans="1:33" x14ac:dyDescent="0.25">
      <c r="A51" s="19" t="s">
        <v>2</v>
      </c>
      <c r="B51" s="4">
        <f>B49/B50</f>
        <v>2.2349514563106796</v>
      </c>
      <c r="C51" s="4">
        <f t="shared" ref="C51:K51" si="25">C49/C50</f>
        <v>1.5601941747572816</v>
      </c>
      <c r="D51" s="4">
        <f t="shared" si="25"/>
        <v>1.3087378640776699</v>
      </c>
      <c r="E51" s="15"/>
      <c r="F51" s="15"/>
      <c r="G51" s="4">
        <f t="shared" si="25"/>
        <v>1.304368932038835</v>
      </c>
      <c r="H51" s="4">
        <f t="shared" si="25"/>
        <v>0</v>
      </c>
      <c r="I51" s="4">
        <f t="shared" si="25"/>
        <v>0</v>
      </c>
      <c r="J51" s="4">
        <f t="shared" si="25"/>
        <v>1.20748959778086</v>
      </c>
      <c r="K51" s="4">
        <f t="shared" si="25"/>
        <v>1.1245145631067961</v>
      </c>
      <c r="L51" s="15"/>
      <c r="M51" s="15"/>
      <c r="N51" s="53"/>
      <c r="O51" s="53"/>
      <c r="P51" s="53"/>
      <c r="Q51" s="53"/>
      <c r="R51" s="53"/>
      <c r="S51" s="15"/>
      <c r="T51" s="15"/>
      <c r="U51" s="53"/>
      <c r="V51" s="53"/>
      <c r="W51" s="53"/>
      <c r="X51" s="53"/>
      <c r="Y51" s="53"/>
      <c r="Z51" s="15"/>
      <c r="AA51" s="15"/>
      <c r="AB51" s="53"/>
      <c r="AC51" s="53"/>
      <c r="AD51" s="53"/>
      <c r="AE51" s="53"/>
      <c r="AF51" s="53"/>
      <c r="AG51" s="32"/>
    </row>
    <row r="52" spans="1:33" ht="15.75" thickBot="1" x14ac:dyDescent="0.3">
      <c r="A52" s="20"/>
      <c r="B52" s="7"/>
      <c r="C52" s="7"/>
      <c r="D52" s="7"/>
      <c r="E52" s="88"/>
      <c r="F52" s="88"/>
      <c r="G52" s="7"/>
      <c r="H52" s="7"/>
      <c r="I52" s="7"/>
      <c r="J52" s="72"/>
      <c r="K52" s="73"/>
      <c r="L52" s="16"/>
      <c r="M52" s="16"/>
      <c r="N52" s="54"/>
      <c r="O52" s="54"/>
      <c r="P52" s="54"/>
      <c r="Q52" s="95"/>
      <c r="R52" s="76"/>
      <c r="S52" s="16"/>
      <c r="T52" s="16"/>
      <c r="U52" s="54"/>
      <c r="V52" s="54"/>
      <c r="W52" s="54"/>
      <c r="X52" s="95"/>
      <c r="Y52" s="76"/>
      <c r="Z52" s="16"/>
      <c r="AA52" s="87"/>
      <c r="AB52" s="93"/>
      <c r="AC52" s="54"/>
      <c r="AD52" s="54"/>
      <c r="AE52" s="95"/>
      <c r="AF52" s="76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ht="15.75" thickBo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x14ac:dyDescent="0.25">
      <c r="A55" s="18" t="s">
        <v>7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79">
        <v>26</v>
      </c>
      <c r="AB55" s="79">
        <v>27</v>
      </c>
      <c r="AC55" s="5">
        <v>28</v>
      </c>
      <c r="AD55" s="5">
        <v>29</v>
      </c>
      <c r="AE55" s="5">
        <v>30</v>
      </c>
      <c r="AF55" s="6">
        <v>31</v>
      </c>
      <c r="AG55" s="32"/>
    </row>
    <row r="56" spans="1:33" x14ac:dyDescent="0.25">
      <c r="A56" s="19" t="s">
        <v>8</v>
      </c>
      <c r="B56" s="56">
        <v>1927</v>
      </c>
      <c r="C56" s="56">
        <v>5183</v>
      </c>
      <c r="D56" s="56">
        <v>6435</v>
      </c>
      <c r="E56" s="60"/>
      <c r="F56" s="60"/>
      <c r="G56" s="56">
        <v>6661</v>
      </c>
      <c r="H56" s="56"/>
      <c r="I56" s="56"/>
      <c r="J56" s="68">
        <v>11434</v>
      </c>
      <c r="K56" s="69">
        <v>13625</v>
      </c>
      <c r="L56" s="60"/>
      <c r="M56" s="60"/>
      <c r="N56" s="56">
        <v>15675</v>
      </c>
      <c r="O56" s="56">
        <v>16957</v>
      </c>
      <c r="P56" s="59"/>
      <c r="Q56" s="68">
        <v>16899</v>
      </c>
      <c r="R56" s="69">
        <v>20589</v>
      </c>
      <c r="S56" s="60"/>
      <c r="T56" s="60"/>
      <c r="U56" s="56">
        <v>20629</v>
      </c>
      <c r="V56" s="56">
        <v>23843</v>
      </c>
      <c r="W56" s="56">
        <v>26513</v>
      </c>
      <c r="X56" s="68">
        <v>28136</v>
      </c>
      <c r="Y56" s="69">
        <v>28899</v>
      </c>
      <c r="Z56" s="60"/>
      <c r="AA56" s="86"/>
      <c r="AB56" s="80"/>
      <c r="AC56" s="56"/>
      <c r="AD56" s="56"/>
      <c r="AE56" s="68"/>
      <c r="AF56" s="69"/>
      <c r="AG56" s="32"/>
    </row>
    <row r="57" spans="1:33" x14ac:dyDescent="0.25">
      <c r="A57" s="19" t="s">
        <v>1</v>
      </c>
      <c r="B57" s="52">
        <v>2004</v>
      </c>
      <c r="C57" s="52">
        <f>B57+2004</f>
        <v>4008</v>
      </c>
      <c r="D57" s="52">
        <f>C57+2004</f>
        <v>6012</v>
      </c>
      <c r="E57" s="63"/>
      <c r="F57" s="63"/>
      <c r="G57" s="52">
        <f>D57+2004</f>
        <v>8016</v>
      </c>
      <c r="H57" s="52">
        <f>G57+2004</f>
        <v>10020</v>
      </c>
      <c r="I57" s="52">
        <f t="shared" ref="I57:K57" si="26">H57+2004</f>
        <v>12024</v>
      </c>
      <c r="J57" s="52">
        <f t="shared" si="26"/>
        <v>14028</v>
      </c>
      <c r="K57" s="52">
        <f t="shared" si="26"/>
        <v>16032</v>
      </c>
      <c r="L57" s="85"/>
      <c r="M57" s="85"/>
      <c r="N57" s="71">
        <f>K57+2004</f>
        <v>18036</v>
      </c>
      <c r="O57" s="52">
        <f>N57+2004</f>
        <v>20040</v>
      </c>
      <c r="P57" s="62"/>
      <c r="Q57" s="70">
        <f>O57+2004</f>
        <v>22044</v>
      </c>
      <c r="R57" s="71">
        <f>Q57+2004</f>
        <v>24048</v>
      </c>
      <c r="S57" s="85"/>
      <c r="T57" s="85"/>
      <c r="U57" s="71">
        <f>R57+2004</f>
        <v>26052</v>
      </c>
      <c r="V57" s="52">
        <f>U57+2004</f>
        <v>28056</v>
      </c>
      <c r="W57" s="52">
        <f t="shared" ref="W57:Y57" si="27">V57+2004</f>
        <v>30060</v>
      </c>
      <c r="X57" s="52">
        <f t="shared" si="27"/>
        <v>32064</v>
      </c>
      <c r="Y57" s="52">
        <f t="shared" si="27"/>
        <v>34068</v>
      </c>
      <c r="Z57" s="85"/>
      <c r="AA57" s="85"/>
      <c r="AB57" s="71">
        <f>Y57+2004</f>
        <v>36072</v>
      </c>
      <c r="AC57" s="52">
        <f>AB57+2004</f>
        <v>38076</v>
      </c>
      <c r="AD57" s="52">
        <f t="shared" ref="AD57:AF57" si="28">AC57+2004</f>
        <v>40080</v>
      </c>
      <c r="AE57" s="52">
        <f t="shared" si="28"/>
        <v>42084</v>
      </c>
      <c r="AF57" s="52">
        <f t="shared" si="28"/>
        <v>44088</v>
      </c>
      <c r="AG57" s="32"/>
    </row>
    <row r="58" spans="1:33" x14ac:dyDescent="0.25">
      <c r="A58" s="19" t="s">
        <v>2</v>
      </c>
      <c r="B58" s="4">
        <f>B56/B57</f>
        <v>0.96157684630738527</v>
      </c>
      <c r="C58" s="4">
        <f t="shared" ref="C58:AF58" si="29">C56/C57</f>
        <v>1.2931636726546907</v>
      </c>
      <c r="D58" s="4">
        <f t="shared" si="29"/>
        <v>1.0703592814371257</v>
      </c>
      <c r="E58" s="15"/>
      <c r="F58" s="15"/>
      <c r="G58" s="4">
        <f t="shared" si="29"/>
        <v>0.8309630738522954</v>
      </c>
      <c r="H58" s="4">
        <f t="shared" si="29"/>
        <v>0</v>
      </c>
      <c r="I58" s="4">
        <f t="shared" si="29"/>
        <v>0</v>
      </c>
      <c r="J58" s="4">
        <f t="shared" si="29"/>
        <v>0.81508411747932707</v>
      </c>
      <c r="K58" s="4">
        <f t="shared" si="29"/>
        <v>0.84986277445109781</v>
      </c>
      <c r="L58" s="15"/>
      <c r="M58" s="15"/>
      <c r="N58" s="4">
        <f t="shared" si="29"/>
        <v>0.86909514304723889</v>
      </c>
      <c r="O58" s="4">
        <f t="shared" si="29"/>
        <v>0.84615768463073848</v>
      </c>
      <c r="P58" s="53"/>
      <c r="Q58" s="4">
        <f t="shared" si="29"/>
        <v>0.76660315732172024</v>
      </c>
      <c r="R58" s="4">
        <f t="shared" si="29"/>
        <v>0.85616267465069862</v>
      </c>
      <c r="S58" s="15"/>
      <c r="T58" s="15"/>
      <c r="U58" s="4">
        <f t="shared" si="29"/>
        <v>0.79183939812682325</v>
      </c>
      <c r="V58" s="4">
        <f t="shared" si="29"/>
        <v>0.8498360422013117</v>
      </c>
      <c r="W58" s="4">
        <f t="shared" si="29"/>
        <v>0.88200266134397876</v>
      </c>
      <c r="X58" s="4">
        <f t="shared" si="29"/>
        <v>0.87749500998003993</v>
      </c>
      <c r="Y58" s="4">
        <f t="shared" si="29"/>
        <v>0.8482740401549842</v>
      </c>
      <c r="Z58" s="15"/>
      <c r="AA58" s="15"/>
      <c r="AB58" s="4">
        <f t="shared" si="29"/>
        <v>0</v>
      </c>
      <c r="AC58" s="4">
        <f t="shared" si="29"/>
        <v>0</v>
      </c>
      <c r="AD58" s="4">
        <f t="shared" si="29"/>
        <v>0</v>
      </c>
      <c r="AE58" s="4">
        <f t="shared" si="29"/>
        <v>0</v>
      </c>
      <c r="AF58" s="4">
        <f t="shared" si="29"/>
        <v>0</v>
      </c>
      <c r="AG58" s="32"/>
    </row>
    <row r="59" spans="1:33" ht="15.75" thickBot="1" x14ac:dyDescent="0.3">
      <c r="A59" s="20"/>
      <c r="B59" s="7"/>
      <c r="C59" s="7"/>
      <c r="D59" s="7"/>
      <c r="E59" s="88"/>
      <c r="F59" s="88"/>
      <c r="G59" s="7"/>
      <c r="H59" s="7"/>
      <c r="I59" s="7"/>
      <c r="J59" s="72"/>
      <c r="K59" s="73"/>
      <c r="L59" s="16"/>
      <c r="M59" s="16"/>
      <c r="N59" s="7"/>
      <c r="O59" s="7"/>
      <c r="P59" s="54"/>
      <c r="Q59" s="72"/>
      <c r="R59" s="73"/>
      <c r="S59" s="16"/>
      <c r="T59" s="16"/>
      <c r="U59" s="7"/>
      <c r="V59" s="7"/>
      <c r="W59" s="7"/>
      <c r="X59" s="72"/>
      <c r="Y59" s="73"/>
      <c r="Z59" s="16"/>
      <c r="AA59" s="87"/>
      <c r="AB59" s="82"/>
      <c r="AC59" s="7"/>
      <c r="AD59" s="7"/>
      <c r="AE59" s="72"/>
      <c r="AF59" s="73"/>
      <c r="AG59" s="32"/>
    </row>
    <row r="60" spans="1:33" x14ac:dyDescent="0.25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78"/>
      <c r="AB60" s="78"/>
      <c r="AC60" s="32"/>
      <c r="AD60" s="32"/>
      <c r="AE60" s="32"/>
      <c r="AF60" s="32"/>
      <c r="AG60" s="32"/>
    </row>
    <row r="61" spans="1:33" ht="15.75" thickBo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x14ac:dyDescent="0.25">
      <c r="A62" s="18" t="s">
        <v>40</v>
      </c>
      <c r="B62" s="5">
        <v>1</v>
      </c>
      <c r="C62" s="5">
        <v>2</v>
      </c>
      <c r="D62" s="5">
        <v>3</v>
      </c>
      <c r="E62" s="5">
        <v>4</v>
      </c>
      <c r="F62" s="5">
        <v>5</v>
      </c>
      <c r="G62" s="5">
        <v>6</v>
      </c>
      <c r="H62" s="5">
        <v>7</v>
      </c>
      <c r="I62" s="5">
        <v>8</v>
      </c>
      <c r="J62" s="5">
        <v>9</v>
      </c>
      <c r="K62" s="5">
        <v>10</v>
      </c>
      <c r="L62" s="5">
        <v>11</v>
      </c>
      <c r="M62" s="5">
        <v>12</v>
      </c>
      <c r="N62" s="5">
        <v>13</v>
      </c>
      <c r="O62" s="5">
        <v>14</v>
      </c>
      <c r="P62" s="5">
        <v>15</v>
      </c>
      <c r="Q62" s="5">
        <v>16</v>
      </c>
      <c r="R62" s="5">
        <v>17</v>
      </c>
      <c r="S62" s="5">
        <v>18</v>
      </c>
      <c r="T62" s="5">
        <v>19</v>
      </c>
      <c r="U62" s="5">
        <v>20</v>
      </c>
      <c r="V62" s="5">
        <v>21</v>
      </c>
      <c r="W62" s="5">
        <v>22</v>
      </c>
      <c r="X62" s="5">
        <v>23</v>
      </c>
      <c r="Y62" s="5">
        <v>24</v>
      </c>
      <c r="Z62" s="5">
        <v>25</v>
      </c>
      <c r="AA62" s="79">
        <v>26</v>
      </c>
      <c r="AB62" s="79">
        <v>27</v>
      </c>
      <c r="AC62" s="5">
        <v>28</v>
      </c>
      <c r="AD62" s="5">
        <v>29</v>
      </c>
      <c r="AE62" s="5">
        <v>30</v>
      </c>
      <c r="AF62" s="6">
        <v>31</v>
      </c>
    </row>
    <row r="63" spans="1:33" x14ac:dyDescent="0.25">
      <c r="A63" s="19" t="s">
        <v>8</v>
      </c>
      <c r="B63" s="56">
        <v>2602</v>
      </c>
      <c r="C63" s="56">
        <v>4435</v>
      </c>
      <c r="D63" s="56">
        <v>5603</v>
      </c>
      <c r="E63" s="60"/>
      <c r="F63" s="60"/>
      <c r="G63" s="56">
        <v>5745</v>
      </c>
      <c r="H63" s="56"/>
      <c r="I63" s="56"/>
      <c r="J63" s="68">
        <v>9424</v>
      </c>
      <c r="K63" s="69">
        <v>11518</v>
      </c>
      <c r="L63" s="60"/>
      <c r="M63" s="60"/>
      <c r="N63" s="56">
        <v>11986</v>
      </c>
      <c r="O63" s="56">
        <v>12926</v>
      </c>
      <c r="P63" s="59"/>
      <c r="Q63" s="68">
        <v>14475</v>
      </c>
      <c r="R63" s="69">
        <v>15375</v>
      </c>
      <c r="S63" s="60"/>
      <c r="T63" s="60"/>
      <c r="U63" s="56">
        <v>15766</v>
      </c>
      <c r="V63" s="56">
        <v>16558</v>
      </c>
      <c r="W63" s="56">
        <v>17186</v>
      </c>
      <c r="X63" s="68">
        <v>18497</v>
      </c>
      <c r="Y63" s="69">
        <v>18892</v>
      </c>
      <c r="Z63" s="60"/>
      <c r="AA63" s="86"/>
      <c r="AB63" s="80"/>
      <c r="AC63" s="56"/>
      <c r="AD63" s="56"/>
      <c r="AE63" s="68"/>
      <c r="AF63" s="69"/>
    </row>
    <row r="64" spans="1:33" x14ac:dyDescent="0.25">
      <c r="A64" s="19" t="s">
        <v>1</v>
      </c>
      <c r="B64" s="52">
        <v>913</v>
      </c>
      <c r="C64" s="52">
        <f>B64+913</f>
        <v>1826</v>
      </c>
      <c r="D64" s="52">
        <f>C64+913</f>
        <v>2739</v>
      </c>
      <c r="E64" s="63"/>
      <c r="F64" s="63"/>
      <c r="G64" s="52">
        <f>D64+913</f>
        <v>3652</v>
      </c>
      <c r="H64" s="52">
        <f>G64+913</f>
        <v>4565</v>
      </c>
      <c r="I64" s="52">
        <f t="shared" ref="I64:K64" si="30">H64+913</f>
        <v>5478</v>
      </c>
      <c r="J64" s="52">
        <f t="shared" si="30"/>
        <v>6391</v>
      </c>
      <c r="K64" s="52">
        <f t="shared" si="30"/>
        <v>7304</v>
      </c>
      <c r="L64" s="85"/>
      <c r="M64" s="85"/>
      <c r="N64" s="71">
        <f>K64+913</f>
        <v>8217</v>
      </c>
      <c r="O64" s="52">
        <f>N64+913</f>
        <v>9130</v>
      </c>
      <c r="P64" s="62"/>
      <c r="Q64" s="70">
        <f>O64+913</f>
        <v>10043</v>
      </c>
      <c r="R64" s="71">
        <f>Q64+913</f>
        <v>10956</v>
      </c>
      <c r="S64" s="85"/>
      <c r="T64" s="85"/>
      <c r="U64" s="71">
        <f>R64+913</f>
        <v>11869</v>
      </c>
      <c r="V64" s="52">
        <f>U64+913</f>
        <v>12782</v>
      </c>
      <c r="W64" s="52">
        <f>V64+913</f>
        <v>13695</v>
      </c>
      <c r="X64" s="52">
        <f t="shared" ref="X64:Y64" si="31">W64+913</f>
        <v>14608</v>
      </c>
      <c r="Y64" s="52">
        <f t="shared" si="31"/>
        <v>15521</v>
      </c>
      <c r="Z64" s="85"/>
      <c r="AA64" s="85"/>
      <c r="AB64" s="71">
        <f>Y64+913</f>
        <v>16434</v>
      </c>
      <c r="AC64" s="52">
        <f>AB64+913</f>
        <v>17347</v>
      </c>
      <c r="AD64" s="52">
        <f t="shared" ref="AD64:AF64" si="32">AC64+913</f>
        <v>18260</v>
      </c>
      <c r="AE64" s="52">
        <f t="shared" si="32"/>
        <v>19173</v>
      </c>
      <c r="AF64" s="52">
        <f t="shared" si="32"/>
        <v>20086</v>
      </c>
    </row>
    <row r="65" spans="1:32" x14ac:dyDescent="0.25">
      <c r="A65" s="19" t="s">
        <v>2</v>
      </c>
      <c r="B65" s="4">
        <f>B63/B64</f>
        <v>2.8499452354874042</v>
      </c>
      <c r="C65" s="4">
        <f t="shared" ref="C65:AF65" si="33">C63/C64</f>
        <v>2.4288061336254105</v>
      </c>
      <c r="D65" s="4">
        <f t="shared" si="33"/>
        <v>2.0456370938298649</v>
      </c>
      <c r="E65" s="15"/>
      <c r="F65" s="15"/>
      <c r="G65" s="4">
        <f t="shared" si="33"/>
        <v>1.5731106243154436</v>
      </c>
      <c r="H65" s="4">
        <f t="shared" si="33"/>
        <v>0</v>
      </c>
      <c r="I65" s="4">
        <f t="shared" si="33"/>
        <v>0</v>
      </c>
      <c r="J65" s="4">
        <f t="shared" si="33"/>
        <v>1.4745736191519323</v>
      </c>
      <c r="K65" s="4">
        <f t="shared" si="33"/>
        <v>1.5769441401971522</v>
      </c>
      <c r="L65" s="15"/>
      <c r="M65" s="15"/>
      <c r="N65" s="4">
        <f t="shared" si="33"/>
        <v>1.4586832177193623</v>
      </c>
      <c r="O65" s="4">
        <f t="shared" si="33"/>
        <v>1.4157721796276013</v>
      </c>
      <c r="P65" s="53"/>
      <c r="Q65" s="4">
        <f t="shared" si="33"/>
        <v>1.4413023996813701</v>
      </c>
      <c r="R65" s="4">
        <f t="shared" si="33"/>
        <v>1.4033406352683462</v>
      </c>
      <c r="S65" s="15"/>
      <c r="T65" s="15"/>
      <c r="U65" s="4">
        <f t="shared" si="33"/>
        <v>1.3283343162861234</v>
      </c>
      <c r="V65" s="4">
        <f t="shared" si="33"/>
        <v>1.2954154279455485</v>
      </c>
      <c r="W65" s="4">
        <f t="shared" si="33"/>
        <v>1.2549105512960934</v>
      </c>
      <c r="X65" s="4">
        <f t="shared" si="33"/>
        <v>1.266223986856517</v>
      </c>
      <c r="Y65" s="4">
        <f t="shared" si="33"/>
        <v>1.2171896140712584</v>
      </c>
      <c r="Z65" s="15"/>
      <c r="AA65" s="15"/>
      <c r="AB65" s="4">
        <f t="shared" si="33"/>
        <v>0</v>
      </c>
      <c r="AC65" s="4">
        <f t="shared" si="33"/>
        <v>0</v>
      </c>
      <c r="AD65" s="4">
        <f t="shared" si="33"/>
        <v>0</v>
      </c>
      <c r="AE65" s="4">
        <f t="shared" si="33"/>
        <v>0</v>
      </c>
      <c r="AF65" s="4">
        <f t="shared" si="33"/>
        <v>0</v>
      </c>
    </row>
    <row r="66" spans="1:32" ht="15.75" thickBot="1" x14ac:dyDescent="0.3">
      <c r="A66" s="20"/>
      <c r="B66" s="7"/>
      <c r="C66" s="7"/>
      <c r="D66" s="7"/>
      <c r="E66" s="88"/>
      <c r="F66" s="88"/>
      <c r="G66" s="7"/>
      <c r="H66" s="7"/>
      <c r="I66" s="7"/>
      <c r="J66" s="72"/>
      <c r="K66" s="73"/>
      <c r="L66" s="16"/>
      <c r="M66" s="16"/>
      <c r="N66" s="7"/>
      <c r="O66" s="7"/>
      <c r="P66" s="54"/>
      <c r="Q66" s="72"/>
      <c r="R66" s="73"/>
      <c r="S66" s="16"/>
      <c r="T66" s="16"/>
      <c r="U66" s="7"/>
      <c r="V66" s="7"/>
      <c r="W66" s="7"/>
      <c r="X66" s="72"/>
      <c r="Y66" s="73"/>
      <c r="Z66" s="16"/>
      <c r="AA66" s="87"/>
      <c r="AB66" s="82"/>
      <c r="AC66" s="7"/>
      <c r="AD66" s="7"/>
      <c r="AE66" s="72"/>
      <c r="AF66" s="73"/>
    </row>
    <row r="68" spans="1:32" ht="15.75" thickBot="1" x14ac:dyDescent="0.3"/>
    <row r="69" spans="1:32" x14ac:dyDescent="0.25">
      <c r="A69" s="18" t="s">
        <v>41</v>
      </c>
      <c r="B69" s="5">
        <v>1</v>
      </c>
      <c r="C69" s="5">
        <v>2</v>
      </c>
      <c r="D69" s="5">
        <v>3</v>
      </c>
      <c r="E69" s="5">
        <v>4</v>
      </c>
      <c r="F69" s="5">
        <v>5</v>
      </c>
      <c r="G69" s="5">
        <v>6</v>
      </c>
      <c r="H69" s="5">
        <v>7</v>
      </c>
      <c r="I69" s="5">
        <v>8</v>
      </c>
      <c r="J69" s="5">
        <v>9</v>
      </c>
      <c r="K69" s="5">
        <v>10</v>
      </c>
      <c r="L69" s="5">
        <v>11</v>
      </c>
      <c r="M69" s="5">
        <v>12</v>
      </c>
      <c r="N69" s="5">
        <v>13</v>
      </c>
      <c r="O69" s="5">
        <v>14</v>
      </c>
      <c r="P69" s="5">
        <v>15</v>
      </c>
      <c r="Q69" s="5">
        <v>16</v>
      </c>
      <c r="R69" s="5">
        <v>17</v>
      </c>
      <c r="S69" s="5">
        <v>18</v>
      </c>
      <c r="T69" s="5">
        <v>19</v>
      </c>
      <c r="U69" s="5">
        <v>20</v>
      </c>
      <c r="V69" s="5">
        <v>21</v>
      </c>
      <c r="W69" s="5">
        <v>22</v>
      </c>
      <c r="X69" s="5">
        <v>23</v>
      </c>
      <c r="Y69" s="5">
        <v>24</v>
      </c>
      <c r="Z69" s="5">
        <v>25</v>
      </c>
      <c r="AA69" s="79">
        <v>26</v>
      </c>
      <c r="AB69" s="79">
        <v>27</v>
      </c>
      <c r="AC69" s="5">
        <v>28</v>
      </c>
      <c r="AD69" s="5">
        <v>29</v>
      </c>
      <c r="AE69" s="5">
        <v>30</v>
      </c>
      <c r="AF69" s="6">
        <v>31</v>
      </c>
    </row>
    <row r="70" spans="1:32" x14ac:dyDescent="0.25">
      <c r="A70" s="19" t="s">
        <v>8</v>
      </c>
      <c r="B70" s="56">
        <v>880</v>
      </c>
      <c r="C70" s="56">
        <v>1674</v>
      </c>
      <c r="D70" s="56">
        <v>2135</v>
      </c>
      <c r="E70" s="60"/>
      <c r="F70" s="60"/>
      <c r="G70" s="56">
        <v>3148</v>
      </c>
      <c r="H70" s="56"/>
      <c r="I70" s="56"/>
      <c r="J70" s="68">
        <v>5965</v>
      </c>
      <c r="K70" s="69">
        <v>7475</v>
      </c>
      <c r="L70" s="60"/>
      <c r="M70" s="60"/>
      <c r="N70" s="56">
        <v>8244</v>
      </c>
      <c r="O70" s="56">
        <v>8914</v>
      </c>
      <c r="P70" s="59"/>
      <c r="Q70" s="68">
        <v>9881</v>
      </c>
      <c r="R70" s="69">
        <v>10238</v>
      </c>
      <c r="S70" s="60"/>
      <c r="T70" s="60"/>
      <c r="U70" s="56">
        <v>10721</v>
      </c>
      <c r="V70" s="56">
        <v>11162</v>
      </c>
      <c r="W70" s="56">
        <v>11330</v>
      </c>
      <c r="X70" s="68">
        <v>12046</v>
      </c>
      <c r="Y70" s="69">
        <v>12896</v>
      </c>
      <c r="Z70" s="60"/>
      <c r="AA70" s="86"/>
      <c r="AB70" s="80"/>
      <c r="AC70" s="56"/>
      <c r="AD70" s="56"/>
      <c r="AE70" s="68"/>
      <c r="AF70" s="69"/>
    </row>
    <row r="71" spans="1:32" x14ac:dyDescent="0.25">
      <c r="A71" s="19" t="s">
        <v>1</v>
      </c>
      <c r="B71" s="52">
        <v>861</v>
      </c>
      <c r="C71" s="52">
        <f>B71+861</f>
        <v>1722</v>
      </c>
      <c r="D71" s="52">
        <f>C71+861</f>
        <v>2583</v>
      </c>
      <c r="E71" s="63"/>
      <c r="F71" s="63"/>
      <c r="G71" s="52">
        <f>D71+861</f>
        <v>3444</v>
      </c>
      <c r="H71" s="52">
        <f>G71+861</f>
        <v>4305</v>
      </c>
      <c r="I71" s="52">
        <f t="shared" ref="I71:K71" si="34">H71+861</f>
        <v>5166</v>
      </c>
      <c r="J71" s="52">
        <f t="shared" si="34"/>
        <v>6027</v>
      </c>
      <c r="K71" s="52">
        <f t="shared" si="34"/>
        <v>6888</v>
      </c>
      <c r="L71" s="85"/>
      <c r="M71" s="85"/>
      <c r="N71" s="71">
        <f>K71+861</f>
        <v>7749</v>
      </c>
      <c r="O71" s="52">
        <f>N71+861</f>
        <v>8610</v>
      </c>
      <c r="P71" s="62"/>
      <c r="Q71" s="70">
        <f>O71+861</f>
        <v>9471</v>
      </c>
      <c r="R71" s="70">
        <f>Q71+861</f>
        <v>10332</v>
      </c>
      <c r="S71" s="85"/>
      <c r="T71" s="85"/>
      <c r="U71" s="71">
        <f>R71+861</f>
        <v>11193</v>
      </c>
      <c r="V71" s="52">
        <f>U71+861</f>
        <v>12054</v>
      </c>
      <c r="W71" s="52">
        <f t="shared" ref="W71:Y71" si="35">V71+861</f>
        <v>12915</v>
      </c>
      <c r="X71" s="52">
        <f t="shared" si="35"/>
        <v>13776</v>
      </c>
      <c r="Y71" s="52">
        <f t="shared" si="35"/>
        <v>14637</v>
      </c>
      <c r="Z71" s="85"/>
      <c r="AA71" s="85"/>
      <c r="AB71" s="71">
        <f>Y71+861</f>
        <v>15498</v>
      </c>
      <c r="AC71" s="52">
        <f>AB71+861</f>
        <v>16359</v>
      </c>
      <c r="AD71" s="52">
        <f t="shared" ref="AD71:AF71" si="36">AC71+861</f>
        <v>17220</v>
      </c>
      <c r="AE71" s="52">
        <f t="shared" si="36"/>
        <v>18081</v>
      </c>
      <c r="AF71" s="52">
        <f t="shared" si="36"/>
        <v>18942</v>
      </c>
    </row>
    <row r="72" spans="1:32" x14ac:dyDescent="0.25">
      <c r="A72" s="19" t="s">
        <v>2</v>
      </c>
      <c r="B72" s="4">
        <f>B70/B71</f>
        <v>1.0220673635307782</v>
      </c>
      <c r="C72" s="4">
        <f t="shared" ref="C72:AF72" si="37">C70/C71</f>
        <v>0.97212543554006969</v>
      </c>
      <c r="D72" s="4">
        <f t="shared" si="37"/>
        <v>0.82655826558265577</v>
      </c>
      <c r="E72" s="15"/>
      <c r="F72" s="15"/>
      <c r="G72" s="4">
        <f t="shared" si="37"/>
        <v>0.91405342624854824</v>
      </c>
      <c r="H72" s="4">
        <f t="shared" si="37"/>
        <v>0</v>
      </c>
      <c r="I72" s="4">
        <f t="shared" si="37"/>
        <v>0</v>
      </c>
      <c r="J72" s="4">
        <f t="shared" si="37"/>
        <v>0.98971295835407336</v>
      </c>
      <c r="K72" s="4">
        <f t="shared" si="37"/>
        <v>1.0852206736353078</v>
      </c>
      <c r="L72" s="15"/>
      <c r="M72" s="15"/>
      <c r="N72" s="4">
        <f t="shared" si="37"/>
        <v>1.0638792102206736</v>
      </c>
      <c r="O72" s="4">
        <f t="shared" si="37"/>
        <v>1.0353077816492451</v>
      </c>
      <c r="P72" s="53"/>
      <c r="Q72" s="4">
        <f t="shared" si="37"/>
        <v>1.0432900432900434</v>
      </c>
      <c r="R72" s="4">
        <f t="shared" si="37"/>
        <v>0.99090205187766167</v>
      </c>
      <c r="S72" s="15"/>
      <c r="T72" s="15"/>
      <c r="U72" s="4">
        <f t="shared" si="37"/>
        <v>0.95783078709907976</v>
      </c>
      <c r="V72" s="4">
        <f t="shared" si="37"/>
        <v>0.92599966815994694</v>
      </c>
      <c r="W72" s="4">
        <f t="shared" si="37"/>
        <v>0.87727448703058464</v>
      </c>
      <c r="X72" s="4">
        <f t="shared" si="37"/>
        <v>0.87441927990708479</v>
      </c>
      <c r="Y72" s="4">
        <f t="shared" si="37"/>
        <v>0.88105486096877772</v>
      </c>
      <c r="Z72" s="15"/>
      <c r="AA72" s="15"/>
      <c r="AB72" s="4">
        <f t="shared" si="37"/>
        <v>0</v>
      </c>
      <c r="AC72" s="4">
        <f t="shared" si="37"/>
        <v>0</v>
      </c>
      <c r="AD72" s="4">
        <f t="shared" si="37"/>
        <v>0</v>
      </c>
      <c r="AE72" s="4">
        <f t="shared" si="37"/>
        <v>0</v>
      </c>
      <c r="AF72" s="4">
        <f t="shared" si="37"/>
        <v>0</v>
      </c>
    </row>
    <row r="73" spans="1:32" ht="15.75" thickBot="1" x14ac:dyDescent="0.3">
      <c r="A73" s="20"/>
      <c r="B73" s="7"/>
      <c r="C73" s="7"/>
      <c r="D73" s="7"/>
      <c r="E73" s="88"/>
      <c r="F73" s="88"/>
      <c r="G73" s="7"/>
      <c r="H73" s="7"/>
      <c r="I73" s="7"/>
      <c r="J73" s="72"/>
      <c r="K73" s="73"/>
      <c r="L73" s="16"/>
      <c r="M73" s="16"/>
      <c r="N73" s="7"/>
      <c r="O73" s="7"/>
      <c r="P73" s="54"/>
      <c r="Q73" s="72"/>
      <c r="R73" s="73"/>
      <c r="S73" s="16"/>
      <c r="T73" s="16"/>
      <c r="U73" s="7"/>
      <c r="V73" s="7"/>
      <c r="W73" s="7"/>
      <c r="X73" s="72"/>
      <c r="Y73" s="73"/>
      <c r="Z73" s="16"/>
      <c r="AA73" s="87"/>
      <c r="AB73" s="82"/>
      <c r="AC73" s="7"/>
      <c r="AD73" s="7"/>
      <c r="AE73" s="72"/>
      <c r="AF73" s="73"/>
    </row>
  </sheetData>
  <mergeCells count="1">
    <mergeCell ref="C1:W1"/>
  </mergeCells>
  <pageMargins left="0.7" right="0.7" top="0.75" bottom="0.75" header="0.3" footer="0.3"/>
  <pageSetup paperSize="9"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74"/>
  <sheetViews>
    <sheetView topLeftCell="A8" zoomScale="60" zoomScaleNormal="60" workbookViewId="0">
      <selection activeCell="AG26" sqref="AG26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29" width="11.5703125" bestFit="1" customWidth="1"/>
    <col min="30" max="30" width="8.7109375" customWidth="1"/>
    <col min="31" max="31" width="10.140625" bestFit="1" customWidth="1"/>
  </cols>
  <sheetData>
    <row r="1" spans="1:36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</row>
    <row r="3" spans="1:36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>
        <f>20</f>
        <v>20</v>
      </c>
    </row>
    <row r="4" spans="1:36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</row>
    <row r="5" spans="1:36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</row>
    <row r="6" spans="1:36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57"/>
      <c r="AG6" s="8"/>
      <c r="AH6" s="8"/>
      <c r="AI6" s="8"/>
      <c r="AJ6" s="8"/>
    </row>
    <row r="7" spans="1:36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7"/>
      <c r="AG7" s="27"/>
      <c r="AH7" s="9"/>
      <c r="AI7" s="27"/>
      <c r="AJ7" s="9"/>
    </row>
    <row r="8" spans="1:36" x14ac:dyDescent="0.25">
      <c r="A8" s="19" t="s">
        <v>8</v>
      </c>
      <c r="B8" s="60"/>
      <c r="C8" s="60"/>
      <c r="D8" s="56"/>
      <c r="E8" s="56"/>
      <c r="F8" s="56"/>
      <c r="G8" s="56"/>
      <c r="H8" s="56"/>
      <c r="I8" s="60"/>
      <c r="J8" s="61"/>
      <c r="K8" s="69"/>
      <c r="L8" s="56"/>
      <c r="M8" s="56"/>
      <c r="N8" s="56"/>
      <c r="O8" s="56"/>
      <c r="P8" s="60"/>
      <c r="Q8" s="61"/>
      <c r="R8" s="69"/>
      <c r="S8" s="56"/>
      <c r="T8" s="56"/>
      <c r="U8" s="56"/>
      <c r="V8" s="56"/>
      <c r="W8" s="60"/>
      <c r="X8" s="61"/>
      <c r="Y8" s="69"/>
      <c r="Z8" s="56"/>
      <c r="AA8" s="80"/>
      <c r="AB8" s="80"/>
      <c r="AC8" s="56"/>
      <c r="AD8" s="60"/>
      <c r="AE8" s="61"/>
      <c r="AF8" s="58"/>
      <c r="AG8" s="2"/>
      <c r="AH8" s="2"/>
      <c r="AI8" s="2"/>
      <c r="AJ8" s="10"/>
    </row>
    <row r="9" spans="1:36" x14ac:dyDescent="0.25">
      <c r="A9" s="19" t="s">
        <v>1</v>
      </c>
      <c r="B9" s="63"/>
      <c r="C9" s="63"/>
      <c r="D9" s="52">
        <v>5856</v>
      </c>
      <c r="E9" s="52">
        <f>D9+5856</f>
        <v>11712</v>
      </c>
      <c r="F9" s="52">
        <f t="shared" ref="F9:H9" si="0">E9+5856</f>
        <v>17568</v>
      </c>
      <c r="G9" s="52">
        <f t="shared" si="0"/>
        <v>23424</v>
      </c>
      <c r="H9" s="52">
        <f t="shared" si="0"/>
        <v>29280</v>
      </c>
      <c r="I9" s="63"/>
      <c r="J9" s="64"/>
      <c r="K9" s="71">
        <f>H9+5856</f>
        <v>35136</v>
      </c>
      <c r="L9" s="71">
        <f>K9+5856</f>
        <v>40992</v>
      </c>
      <c r="M9" s="71">
        <f t="shared" ref="M9:O9" si="1">L9+5856</f>
        <v>46848</v>
      </c>
      <c r="N9" s="71">
        <f t="shared" si="1"/>
        <v>52704</v>
      </c>
      <c r="O9" s="71">
        <f t="shared" si="1"/>
        <v>58560</v>
      </c>
      <c r="P9" s="63"/>
      <c r="Q9" s="64"/>
      <c r="R9" s="71">
        <f>O9+5856</f>
        <v>64416</v>
      </c>
      <c r="S9" s="71">
        <f>R9+5856</f>
        <v>70272</v>
      </c>
      <c r="T9" s="71">
        <f t="shared" ref="T9:V9" si="2">S9+5856</f>
        <v>76128</v>
      </c>
      <c r="U9" s="71">
        <f t="shared" si="2"/>
        <v>81984</v>
      </c>
      <c r="V9" s="71">
        <f t="shared" si="2"/>
        <v>87840</v>
      </c>
      <c r="W9" s="63"/>
      <c r="X9" s="64"/>
      <c r="Y9" s="71">
        <f>V9+5856</f>
        <v>93696</v>
      </c>
      <c r="Z9" s="71">
        <f>Y9+5856</f>
        <v>99552</v>
      </c>
      <c r="AA9" s="71">
        <f>Z9+5856</f>
        <v>105408</v>
      </c>
      <c r="AB9" s="71">
        <f t="shared" ref="AB9:AC9" si="3">AA9+5856</f>
        <v>111264</v>
      </c>
      <c r="AC9" s="71">
        <f t="shared" si="3"/>
        <v>117120</v>
      </c>
      <c r="AD9" s="63"/>
      <c r="AE9" s="91"/>
      <c r="AF9" s="58"/>
      <c r="AG9" s="2"/>
      <c r="AH9" s="2"/>
      <c r="AI9" s="2"/>
      <c r="AJ9" s="2"/>
    </row>
    <row r="10" spans="1:36" x14ac:dyDescent="0.25">
      <c r="A10" s="19" t="s">
        <v>2</v>
      </c>
      <c r="B10" s="15"/>
      <c r="C10" s="15"/>
      <c r="D10" s="4">
        <f>D8/D9</f>
        <v>0</v>
      </c>
      <c r="E10" s="4">
        <f t="shared" ref="E10:AC10" si="4">E8/E9</f>
        <v>0</v>
      </c>
      <c r="F10" s="4">
        <f t="shared" si="4"/>
        <v>0</v>
      </c>
      <c r="G10" s="4">
        <f t="shared" si="4"/>
        <v>0</v>
      </c>
      <c r="H10" s="4">
        <f t="shared" si="4"/>
        <v>0</v>
      </c>
      <c r="I10" s="15"/>
      <c r="J10" s="15"/>
      <c r="K10" s="4">
        <f t="shared" si="4"/>
        <v>0</v>
      </c>
      <c r="L10" s="4">
        <f t="shared" si="4"/>
        <v>0</v>
      </c>
      <c r="M10" s="4">
        <f t="shared" si="4"/>
        <v>0</v>
      </c>
      <c r="N10" s="4">
        <f t="shared" si="4"/>
        <v>0</v>
      </c>
      <c r="O10" s="4">
        <f t="shared" si="4"/>
        <v>0</v>
      </c>
      <c r="P10" s="15"/>
      <c r="Q10" s="15"/>
      <c r="R10" s="4">
        <f t="shared" si="4"/>
        <v>0</v>
      </c>
      <c r="S10" s="4">
        <f t="shared" si="4"/>
        <v>0</v>
      </c>
      <c r="T10" s="4">
        <f t="shared" si="4"/>
        <v>0</v>
      </c>
      <c r="U10" s="4">
        <f t="shared" si="4"/>
        <v>0</v>
      </c>
      <c r="V10" s="4">
        <f t="shared" si="4"/>
        <v>0</v>
      </c>
      <c r="W10" s="15"/>
      <c r="X10" s="15"/>
      <c r="Y10" s="4">
        <f t="shared" si="4"/>
        <v>0</v>
      </c>
      <c r="Z10" s="4">
        <f t="shared" si="4"/>
        <v>0</v>
      </c>
      <c r="AA10" s="4">
        <f t="shared" si="4"/>
        <v>0</v>
      </c>
      <c r="AB10" s="4">
        <f t="shared" si="4"/>
        <v>0</v>
      </c>
      <c r="AC10" s="4">
        <f t="shared" si="4"/>
        <v>0</v>
      </c>
      <c r="AD10" s="15"/>
      <c r="AE10" s="15"/>
      <c r="AF10" s="11"/>
      <c r="AG10" s="11"/>
      <c r="AH10" s="11"/>
      <c r="AI10" s="11"/>
      <c r="AJ10" s="11"/>
    </row>
    <row r="11" spans="1:36" ht="15.75" thickBot="1" x14ac:dyDescent="0.3">
      <c r="A11" s="20"/>
      <c r="B11" s="16"/>
      <c r="C11" s="16"/>
      <c r="D11" s="7"/>
      <c r="E11" s="26"/>
      <c r="F11" s="26"/>
      <c r="G11" s="7"/>
      <c r="H11" s="7"/>
      <c r="I11" s="16"/>
      <c r="J11" s="55"/>
      <c r="K11" s="73"/>
      <c r="L11" s="7"/>
      <c r="M11" s="7"/>
      <c r="N11" s="7"/>
      <c r="O11" s="7"/>
      <c r="P11" s="16"/>
      <c r="Q11" s="55"/>
      <c r="R11" s="73"/>
      <c r="S11" s="7"/>
      <c r="T11" s="7"/>
      <c r="U11" s="7"/>
      <c r="V11" s="7"/>
      <c r="W11" s="16"/>
      <c r="X11" s="55"/>
      <c r="Y11" s="73"/>
      <c r="Z11" s="7"/>
      <c r="AA11" s="82"/>
      <c r="AB11" s="82"/>
      <c r="AC11" s="7"/>
      <c r="AD11" s="16"/>
      <c r="AE11" s="55"/>
      <c r="AF11" s="11"/>
      <c r="AG11" s="11"/>
      <c r="AH11" s="11"/>
      <c r="AI11" s="11"/>
      <c r="AJ11" s="11"/>
    </row>
    <row r="12" spans="1:36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</row>
    <row r="13" spans="1:36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</row>
    <row r="14" spans="1:36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32"/>
    </row>
    <row r="15" spans="1:36" x14ac:dyDescent="0.25">
      <c r="A15" s="19" t="s">
        <v>8</v>
      </c>
      <c r="B15" s="60"/>
      <c r="C15" s="60"/>
      <c r="D15" s="56"/>
      <c r="E15" s="56"/>
      <c r="F15" s="56"/>
      <c r="G15" s="56"/>
      <c r="H15" s="56"/>
      <c r="I15" s="60"/>
      <c r="J15" s="61"/>
      <c r="K15" s="69"/>
      <c r="L15" s="56"/>
      <c r="M15" s="56"/>
      <c r="N15" s="56"/>
      <c r="O15" s="56"/>
      <c r="P15" s="60"/>
      <c r="Q15" s="61"/>
      <c r="R15" s="69"/>
      <c r="S15" s="56"/>
      <c r="T15" s="56"/>
      <c r="U15" s="56"/>
      <c r="V15" s="56"/>
      <c r="W15" s="60"/>
      <c r="X15" s="61"/>
      <c r="Y15" s="69"/>
      <c r="Z15" s="56"/>
      <c r="AA15" s="80"/>
      <c r="AB15" s="80"/>
      <c r="AC15" s="56"/>
      <c r="AD15" s="60"/>
      <c r="AE15" s="61"/>
      <c r="AF15" s="32"/>
    </row>
    <row r="16" spans="1:36" x14ac:dyDescent="0.25">
      <c r="A16" s="19" t="s">
        <v>1</v>
      </c>
      <c r="B16" s="63"/>
      <c r="C16" s="63"/>
      <c r="D16" s="52">
        <v>792</v>
      </c>
      <c r="E16" s="52">
        <f>D16+792</f>
        <v>1584</v>
      </c>
      <c r="F16" s="52">
        <f t="shared" ref="F16:H16" si="5">E16+792</f>
        <v>2376</v>
      </c>
      <c r="G16" s="52">
        <f t="shared" si="5"/>
        <v>3168</v>
      </c>
      <c r="H16" s="52">
        <f t="shared" si="5"/>
        <v>3960</v>
      </c>
      <c r="I16" s="63"/>
      <c r="J16" s="64"/>
      <c r="K16" s="71">
        <f>H16+792</f>
        <v>4752</v>
      </c>
      <c r="L16" s="71">
        <f>K16+792</f>
        <v>5544</v>
      </c>
      <c r="M16" s="71">
        <f t="shared" ref="M16:O16" si="6">L16+792</f>
        <v>6336</v>
      </c>
      <c r="N16" s="71">
        <f t="shared" si="6"/>
        <v>7128</v>
      </c>
      <c r="O16" s="71">
        <f t="shared" si="6"/>
        <v>7920</v>
      </c>
      <c r="P16" s="63"/>
      <c r="Q16" s="64"/>
      <c r="R16" s="71">
        <f>O16+792</f>
        <v>8712</v>
      </c>
      <c r="S16" s="71">
        <f>R16+792</f>
        <v>9504</v>
      </c>
      <c r="T16" s="71">
        <f t="shared" ref="T16:V16" si="7">S16+792</f>
        <v>10296</v>
      </c>
      <c r="U16" s="71">
        <f t="shared" si="7"/>
        <v>11088</v>
      </c>
      <c r="V16" s="71">
        <f t="shared" si="7"/>
        <v>11880</v>
      </c>
      <c r="W16" s="63"/>
      <c r="X16" s="64"/>
      <c r="Y16" s="71">
        <f>V16+792</f>
        <v>12672</v>
      </c>
      <c r="Z16" s="71">
        <f>Y16+792</f>
        <v>13464</v>
      </c>
      <c r="AA16" s="71">
        <f t="shared" ref="AA16:AC16" si="8">Z16+792</f>
        <v>14256</v>
      </c>
      <c r="AB16" s="71">
        <f t="shared" si="8"/>
        <v>15048</v>
      </c>
      <c r="AC16" s="71">
        <f t="shared" si="8"/>
        <v>15840</v>
      </c>
      <c r="AD16" s="63"/>
      <c r="AE16" s="91"/>
      <c r="AF16" s="32"/>
    </row>
    <row r="17" spans="1:32" x14ac:dyDescent="0.25">
      <c r="A17" s="19" t="s">
        <v>2</v>
      </c>
      <c r="B17" s="15"/>
      <c r="C17" s="15"/>
      <c r="D17" s="4">
        <f>D15/D16</f>
        <v>0</v>
      </c>
      <c r="E17" s="4">
        <f t="shared" ref="E17:AC17" si="9">E15/E16</f>
        <v>0</v>
      </c>
      <c r="F17" s="4">
        <f t="shared" si="9"/>
        <v>0</v>
      </c>
      <c r="G17" s="4">
        <f t="shared" si="9"/>
        <v>0</v>
      </c>
      <c r="H17" s="4">
        <f t="shared" si="9"/>
        <v>0</v>
      </c>
      <c r="I17" s="15"/>
      <c r="J17" s="15"/>
      <c r="K17" s="4">
        <f t="shared" si="9"/>
        <v>0</v>
      </c>
      <c r="L17" s="4">
        <f t="shared" si="9"/>
        <v>0</v>
      </c>
      <c r="M17" s="4">
        <f t="shared" si="9"/>
        <v>0</v>
      </c>
      <c r="N17" s="4">
        <f t="shared" si="9"/>
        <v>0</v>
      </c>
      <c r="O17" s="4">
        <f t="shared" si="9"/>
        <v>0</v>
      </c>
      <c r="P17" s="15"/>
      <c r="Q17" s="15"/>
      <c r="R17" s="4">
        <f t="shared" si="9"/>
        <v>0</v>
      </c>
      <c r="S17" s="4">
        <f t="shared" si="9"/>
        <v>0</v>
      </c>
      <c r="T17" s="4">
        <f t="shared" si="9"/>
        <v>0</v>
      </c>
      <c r="U17" s="4">
        <f t="shared" si="9"/>
        <v>0</v>
      </c>
      <c r="V17" s="4">
        <f t="shared" si="9"/>
        <v>0</v>
      </c>
      <c r="W17" s="15"/>
      <c r="X17" s="15"/>
      <c r="Y17" s="4">
        <f t="shared" si="9"/>
        <v>0</v>
      </c>
      <c r="Z17" s="4">
        <f t="shared" si="9"/>
        <v>0</v>
      </c>
      <c r="AA17" s="4">
        <f t="shared" si="9"/>
        <v>0</v>
      </c>
      <c r="AB17" s="4">
        <f t="shared" si="9"/>
        <v>0</v>
      </c>
      <c r="AC17" s="4">
        <f t="shared" si="9"/>
        <v>0</v>
      </c>
      <c r="AD17" s="15"/>
      <c r="AE17" s="15"/>
      <c r="AF17" s="32"/>
    </row>
    <row r="18" spans="1:32" ht="15.75" thickBot="1" x14ac:dyDescent="0.3">
      <c r="A18" s="20"/>
      <c r="B18" s="16"/>
      <c r="C18" s="16"/>
      <c r="D18" s="7"/>
      <c r="E18" s="26"/>
      <c r="F18" s="26"/>
      <c r="G18" s="7"/>
      <c r="H18" s="7"/>
      <c r="I18" s="16"/>
      <c r="J18" s="55"/>
      <c r="K18" s="73"/>
      <c r="L18" s="7"/>
      <c r="M18" s="7"/>
      <c r="N18" s="7"/>
      <c r="O18" s="7"/>
      <c r="P18" s="16"/>
      <c r="Q18" s="55"/>
      <c r="R18" s="73"/>
      <c r="S18" s="7"/>
      <c r="T18" s="7"/>
      <c r="U18" s="7"/>
      <c r="V18" s="7"/>
      <c r="W18" s="16"/>
      <c r="X18" s="55"/>
      <c r="Y18" s="73"/>
      <c r="Z18" s="7"/>
      <c r="AA18" s="82"/>
      <c r="AB18" s="82"/>
      <c r="AC18" s="7"/>
      <c r="AD18" s="16"/>
      <c r="AE18" s="55"/>
      <c r="AF18" s="32"/>
    </row>
    <row r="19" spans="1:32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</row>
    <row r="20" spans="1:32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</row>
    <row r="21" spans="1:32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32"/>
    </row>
    <row r="22" spans="1:32" x14ac:dyDescent="0.25">
      <c r="A22" s="19" t="s">
        <v>8</v>
      </c>
      <c r="B22" s="60"/>
      <c r="C22" s="60"/>
      <c r="D22" s="56"/>
      <c r="E22" s="56"/>
      <c r="F22" s="56"/>
      <c r="G22" s="56"/>
      <c r="H22" s="56"/>
      <c r="I22" s="60"/>
      <c r="J22" s="61"/>
      <c r="K22" s="69"/>
      <c r="L22" s="56"/>
      <c r="M22" s="56"/>
      <c r="N22" s="56"/>
      <c r="O22" s="56"/>
      <c r="P22" s="60"/>
      <c r="Q22" s="61"/>
      <c r="R22" s="69"/>
      <c r="S22" s="56"/>
      <c r="T22" s="56"/>
      <c r="U22" s="56"/>
      <c r="V22" s="56"/>
      <c r="W22" s="60"/>
      <c r="X22" s="61"/>
      <c r="Y22" s="69"/>
      <c r="Z22" s="56"/>
      <c r="AA22" s="80"/>
      <c r="AB22" s="80"/>
      <c r="AC22" s="56"/>
      <c r="AD22" s="60"/>
      <c r="AE22" s="61"/>
      <c r="AF22" s="32"/>
    </row>
    <row r="23" spans="1:32" x14ac:dyDescent="0.25">
      <c r="A23" s="19" t="s">
        <v>1</v>
      </c>
      <c r="B23" s="63"/>
      <c r="C23" s="63"/>
      <c r="D23" s="52">
        <v>2877</v>
      </c>
      <c r="E23" s="52">
        <f>D23+2877</f>
        <v>5754</v>
      </c>
      <c r="F23" s="52">
        <f t="shared" ref="F23:H23" si="10">E23+2877</f>
        <v>8631</v>
      </c>
      <c r="G23" s="52">
        <f t="shared" si="10"/>
        <v>11508</v>
      </c>
      <c r="H23" s="52">
        <f t="shared" si="10"/>
        <v>14385</v>
      </c>
      <c r="I23" s="63"/>
      <c r="J23" s="64"/>
      <c r="K23" s="71">
        <f>2877+H23</f>
        <v>17262</v>
      </c>
      <c r="L23" s="71">
        <f>K23+2877</f>
        <v>20139</v>
      </c>
      <c r="M23" s="71">
        <f t="shared" ref="M23:O23" si="11">L23+2877</f>
        <v>23016</v>
      </c>
      <c r="N23" s="71">
        <f t="shared" si="11"/>
        <v>25893</v>
      </c>
      <c r="O23" s="71">
        <f t="shared" si="11"/>
        <v>28770</v>
      </c>
      <c r="P23" s="63"/>
      <c r="Q23" s="64"/>
      <c r="R23" s="71">
        <f>O23+2877</f>
        <v>31647</v>
      </c>
      <c r="S23" s="71">
        <f>R23+2877</f>
        <v>34524</v>
      </c>
      <c r="T23" s="71">
        <f t="shared" ref="T23:V23" si="12">S23+2877</f>
        <v>37401</v>
      </c>
      <c r="U23" s="71">
        <f t="shared" si="12"/>
        <v>40278</v>
      </c>
      <c r="V23" s="71">
        <f t="shared" si="12"/>
        <v>43155</v>
      </c>
      <c r="W23" s="63"/>
      <c r="X23" s="64"/>
      <c r="Y23" s="71">
        <f>V23+2877</f>
        <v>46032</v>
      </c>
      <c r="Z23" s="71">
        <f>Y23+2877</f>
        <v>48909</v>
      </c>
      <c r="AA23" s="71">
        <f t="shared" ref="AA23:AC23" si="13">Z23+2877</f>
        <v>51786</v>
      </c>
      <c r="AB23" s="71">
        <f t="shared" si="13"/>
        <v>54663</v>
      </c>
      <c r="AC23" s="71">
        <f t="shared" si="13"/>
        <v>57540</v>
      </c>
      <c r="AD23" s="63"/>
      <c r="AE23" s="91"/>
      <c r="AF23" s="32"/>
    </row>
    <row r="24" spans="1:32" x14ac:dyDescent="0.25">
      <c r="A24" s="19" t="s">
        <v>2</v>
      </c>
      <c r="B24" s="15"/>
      <c r="C24" s="15"/>
      <c r="D24" s="4">
        <f>D22/D23</f>
        <v>0</v>
      </c>
      <c r="E24" s="4">
        <f t="shared" ref="E24:AC24" si="14">E22/E23</f>
        <v>0</v>
      </c>
      <c r="F24" s="4">
        <f t="shared" si="14"/>
        <v>0</v>
      </c>
      <c r="G24" s="4">
        <f t="shared" si="14"/>
        <v>0</v>
      </c>
      <c r="H24" s="4">
        <f t="shared" si="14"/>
        <v>0</v>
      </c>
      <c r="I24" s="15"/>
      <c r="J24" s="15"/>
      <c r="K24" s="4">
        <f t="shared" si="14"/>
        <v>0</v>
      </c>
      <c r="L24" s="4">
        <f t="shared" si="14"/>
        <v>0</v>
      </c>
      <c r="M24" s="4">
        <f t="shared" si="14"/>
        <v>0</v>
      </c>
      <c r="N24" s="4">
        <f t="shared" si="14"/>
        <v>0</v>
      </c>
      <c r="O24" s="4">
        <f t="shared" si="14"/>
        <v>0</v>
      </c>
      <c r="P24" s="15"/>
      <c r="Q24" s="15"/>
      <c r="R24" s="4">
        <f t="shared" si="14"/>
        <v>0</v>
      </c>
      <c r="S24" s="4">
        <f t="shared" si="14"/>
        <v>0</v>
      </c>
      <c r="T24" s="4">
        <f t="shared" si="14"/>
        <v>0</v>
      </c>
      <c r="U24" s="4">
        <f t="shared" si="14"/>
        <v>0</v>
      </c>
      <c r="V24" s="4">
        <f t="shared" si="14"/>
        <v>0</v>
      </c>
      <c r="W24" s="15"/>
      <c r="X24" s="15"/>
      <c r="Y24" s="4">
        <f t="shared" si="14"/>
        <v>0</v>
      </c>
      <c r="Z24" s="4">
        <f t="shared" si="14"/>
        <v>0</v>
      </c>
      <c r="AA24" s="4">
        <f t="shared" si="14"/>
        <v>0</v>
      </c>
      <c r="AB24" s="4">
        <f t="shared" si="14"/>
        <v>0</v>
      </c>
      <c r="AC24" s="4">
        <f t="shared" si="14"/>
        <v>0</v>
      </c>
      <c r="AD24" s="15"/>
      <c r="AE24" s="15"/>
      <c r="AF24" s="32"/>
    </row>
    <row r="25" spans="1:32" ht="15.75" thickBot="1" x14ac:dyDescent="0.3">
      <c r="A25" s="20"/>
      <c r="B25" s="16"/>
      <c r="C25" s="16"/>
      <c r="D25" s="7"/>
      <c r="E25" s="26"/>
      <c r="F25" s="26"/>
      <c r="G25" s="7"/>
      <c r="H25" s="7"/>
      <c r="I25" s="16"/>
      <c r="J25" s="55"/>
      <c r="K25" s="73"/>
      <c r="L25" s="7"/>
      <c r="M25" s="7"/>
      <c r="N25" s="7"/>
      <c r="O25" s="7"/>
      <c r="P25" s="16"/>
      <c r="Q25" s="55"/>
      <c r="R25" s="73"/>
      <c r="S25" s="7"/>
      <c r="T25" s="7"/>
      <c r="U25" s="7"/>
      <c r="V25" s="7"/>
      <c r="W25" s="16"/>
      <c r="X25" s="55"/>
      <c r="Y25" s="73"/>
      <c r="Z25" s="7"/>
      <c r="AA25" s="82"/>
      <c r="AB25" s="82"/>
      <c r="AC25" s="7"/>
      <c r="AD25" s="16"/>
      <c r="AE25" s="55"/>
      <c r="AF25" s="32"/>
    </row>
    <row r="26" spans="1:32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</row>
    <row r="27" spans="1:32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</row>
    <row r="28" spans="1:32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32"/>
    </row>
    <row r="29" spans="1:32" x14ac:dyDescent="0.25">
      <c r="A29" s="19" t="s">
        <v>8</v>
      </c>
      <c r="B29" s="60"/>
      <c r="C29" s="60"/>
      <c r="D29" s="56"/>
      <c r="E29" s="56"/>
      <c r="F29" s="56"/>
      <c r="G29" s="56"/>
      <c r="H29" s="56"/>
      <c r="I29" s="60"/>
      <c r="J29" s="61"/>
      <c r="K29" s="69"/>
      <c r="L29" s="56"/>
      <c r="M29" s="56"/>
      <c r="N29" s="56"/>
      <c r="O29" s="56"/>
      <c r="P29" s="60"/>
      <c r="Q29" s="61"/>
      <c r="R29" s="69"/>
      <c r="S29" s="56"/>
      <c r="T29" s="56"/>
      <c r="U29" s="56"/>
      <c r="V29" s="56"/>
      <c r="W29" s="60"/>
      <c r="X29" s="61"/>
      <c r="Y29" s="69"/>
      <c r="Z29" s="56"/>
      <c r="AA29" s="80"/>
      <c r="AB29" s="80"/>
      <c r="AC29" s="56"/>
      <c r="AD29" s="60"/>
      <c r="AE29" s="61"/>
      <c r="AF29" s="32"/>
    </row>
    <row r="30" spans="1:32" x14ac:dyDescent="0.25">
      <c r="A30" s="19" t="s">
        <v>1</v>
      </c>
      <c r="B30" s="63"/>
      <c r="C30" s="63"/>
      <c r="D30" s="52">
        <v>1770</v>
      </c>
      <c r="E30" s="52">
        <f>D30+1770</f>
        <v>3540</v>
      </c>
      <c r="F30" s="52">
        <f t="shared" ref="F30:H30" si="15">E30+1770</f>
        <v>5310</v>
      </c>
      <c r="G30" s="52">
        <f t="shared" si="15"/>
        <v>7080</v>
      </c>
      <c r="H30" s="52">
        <f t="shared" si="15"/>
        <v>8850</v>
      </c>
      <c r="I30" s="63"/>
      <c r="J30" s="64"/>
      <c r="K30" s="71">
        <f>H30+1770</f>
        <v>10620</v>
      </c>
      <c r="L30" s="71">
        <f>K30+1770</f>
        <v>12390</v>
      </c>
      <c r="M30" s="71">
        <f t="shared" ref="M30:O30" si="16">L30+1770</f>
        <v>14160</v>
      </c>
      <c r="N30" s="71">
        <f t="shared" si="16"/>
        <v>15930</v>
      </c>
      <c r="O30" s="71">
        <f t="shared" si="16"/>
        <v>17700</v>
      </c>
      <c r="P30" s="63"/>
      <c r="Q30" s="64"/>
      <c r="R30" s="71">
        <f>O30+1770</f>
        <v>19470</v>
      </c>
      <c r="S30" s="71">
        <f>R30+1770</f>
        <v>21240</v>
      </c>
      <c r="T30" s="71">
        <f t="shared" ref="T30:V30" si="17">S30+1770</f>
        <v>23010</v>
      </c>
      <c r="U30" s="71">
        <f t="shared" si="17"/>
        <v>24780</v>
      </c>
      <c r="V30" s="71">
        <f t="shared" si="17"/>
        <v>26550</v>
      </c>
      <c r="W30" s="63"/>
      <c r="X30" s="64"/>
      <c r="Y30" s="71">
        <f>V30+1770</f>
        <v>28320</v>
      </c>
      <c r="Z30" s="71">
        <f>Y30+1770</f>
        <v>30090</v>
      </c>
      <c r="AA30" s="71">
        <f t="shared" ref="AA30:AC30" si="18">Z30+1770</f>
        <v>31860</v>
      </c>
      <c r="AB30" s="71">
        <f t="shared" si="18"/>
        <v>33630</v>
      </c>
      <c r="AC30" s="71">
        <f t="shared" si="18"/>
        <v>35400</v>
      </c>
      <c r="AD30" s="63"/>
      <c r="AE30" s="91"/>
      <c r="AF30" s="32"/>
    </row>
    <row r="31" spans="1:32" x14ac:dyDescent="0.25">
      <c r="A31" s="19" t="s">
        <v>2</v>
      </c>
      <c r="B31" s="15"/>
      <c r="C31" s="15"/>
      <c r="D31" s="4">
        <f>D29/D30</f>
        <v>0</v>
      </c>
      <c r="E31" s="4">
        <f t="shared" ref="E31:AC31" si="19">E29/E30</f>
        <v>0</v>
      </c>
      <c r="F31" s="4">
        <f t="shared" si="19"/>
        <v>0</v>
      </c>
      <c r="G31" s="4">
        <f t="shared" si="19"/>
        <v>0</v>
      </c>
      <c r="H31" s="4">
        <f t="shared" si="19"/>
        <v>0</v>
      </c>
      <c r="I31" s="15"/>
      <c r="J31" s="15"/>
      <c r="K31" s="4">
        <f t="shared" si="19"/>
        <v>0</v>
      </c>
      <c r="L31" s="4">
        <f t="shared" si="19"/>
        <v>0</v>
      </c>
      <c r="M31" s="4">
        <f t="shared" si="19"/>
        <v>0</v>
      </c>
      <c r="N31" s="4">
        <f t="shared" si="19"/>
        <v>0</v>
      </c>
      <c r="O31" s="4">
        <f t="shared" si="19"/>
        <v>0</v>
      </c>
      <c r="P31" s="15"/>
      <c r="Q31" s="15"/>
      <c r="R31" s="4">
        <f t="shared" si="19"/>
        <v>0</v>
      </c>
      <c r="S31" s="4">
        <f t="shared" si="19"/>
        <v>0</v>
      </c>
      <c r="T31" s="4">
        <f t="shared" si="19"/>
        <v>0</v>
      </c>
      <c r="U31" s="4">
        <f t="shared" si="19"/>
        <v>0</v>
      </c>
      <c r="V31" s="4">
        <f t="shared" si="19"/>
        <v>0</v>
      </c>
      <c r="W31" s="15"/>
      <c r="X31" s="15"/>
      <c r="Y31" s="4">
        <f t="shared" si="19"/>
        <v>0</v>
      </c>
      <c r="Z31" s="4">
        <f t="shared" si="19"/>
        <v>0</v>
      </c>
      <c r="AA31" s="4">
        <f t="shared" si="19"/>
        <v>0</v>
      </c>
      <c r="AB31" s="4">
        <f t="shared" si="19"/>
        <v>0</v>
      </c>
      <c r="AC31" s="4">
        <f t="shared" si="19"/>
        <v>0</v>
      </c>
      <c r="AD31" s="15"/>
      <c r="AE31" s="15"/>
      <c r="AF31" s="32"/>
    </row>
    <row r="32" spans="1:32" ht="15.75" thickBot="1" x14ac:dyDescent="0.3">
      <c r="A32" s="20"/>
      <c r="B32" s="16"/>
      <c r="C32" s="16"/>
      <c r="D32" s="7"/>
      <c r="E32" s="26"/>
      <c r="F32" s="26"/>
      <c r="G32" s="7"/>
      <c r="H32" s="7"/>
      <c r="I32" s="16"/>
      <c r="J32" s="55"/>
      <c r="K32" s="73"/>
      <c r="L32" s="7"/>
      <c r="M32" s="7"/>
      <c r="N32" s="7"/>
      <c r="O32" s="7"/>
      <c r="P32" s="16"/>
      <c r="Q32" s="55"/>
      <c r="R32" s="73"/>
      <c r="S32" s="7"/>
      <c r="T32" s="7"/>
      <c r="U32" s="7"/>
      <c r="V32" s="7"/>
      <c r="W32" s="16"/>
      <c r="X32" s="55"/>
      <c r="Y32" s="73"/>
      <c r="Z32" s="7"/>
      <c r="AA32" s="82"/>
      <c r="AB32" s="82"/>
      <c r="AC32" s="7"/>
      <c r="AD32" s="16"/>
      <c r="AE32" s="55"/>
      <c r="AF32" s="32"/>
    </row>
    <row r="33" spans="1:32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</row>
    <row r="34" spans="1:32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</row>
    <row r="35" spans="1:32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32"/>
    </row>
    <row r="36" spans="1:32" x14ac:dyDescent="0.25">
      <c r="A36" s="19" t="s">
        <v>8</v>
      </c>
      <c r="B36" s="60"/>
      <c r="C36" s="60"/>
      <c r="D36" s="56"/>
      <c r="E36" s="56"/>
      <c r="F36" s="56"/>
      <c r="G36" s="56"/>
      <c r="H36" s="56"/>
      <c r="I36" s="60"/>
      <c r="J36" s="61"/>
      <c r="K36" s="69"/>
      <c r="L36" s="56"/>
      <c r="M36" s="56"/>
      <c r="N36" s="56"/>
      <c r="O36" s="56"/>
      <c r="P36" s="60"/>
      <c r="Q36" s="61"/>
      <c r="R36" s="69"/>
      <c r="S36" s="56"/>
      <c r="T36" s="56"/>
      <c r="U36" s="56"/>
      <c r="V36" s="56"/>
      <c r="W36" s="60"/>
      <c r="X36" s="61"/>
      <c r="Y36" s="69"/>
      <c r="Z36" s="56"/>
      <c r="AA36" s="80"/>
      <c r="AB36" s="80"/>
      <c r="AC36" s="56"/>
      <c r="AD36" s="60"/>
      <c r="AE36" s="61"/>
      <c r="AF36" s="32"/>
    </row>
    <row r="37" spans="1:32" x14ac:dyDescent="0.25">
      <c r="A37" s="19" t="s">
        <v>1</v>
      </c>
      <c r="B37" s="63"/>
      <c r="C37" s="63"/>
      <c r="D37" s="52">
        <v>3262</v>
      </c>
      <c r="E37" s="52">
        <f>D37+3262</f>
        <v>6524</v>
      </c>
      <c r="F37" s="52">
        <f t="shared" ref="F37:H37" si="20">E37+3262</f>
        <v>9786</v>
      </c>
      <c r="G37" s="52">
        <f t="shared" si="20"/>
        <v>13048</v>
      </c>
      <c r="H37" s="52">
        <f t="shared" si="20"/>
        <v>16310</v>
      </c>
      <c r="I37" s="63"/>
      <c r="J37" s="64"/>
      <c r="K37" s="71">
        <f>H37+3262</f>
        <v>19572</v>
      </c>
      <c r="L37" s="71">
        <f>K37+3262</f>
        <v>22834</v>
      </c>
      <c r="M37" s="71">
        <f t="shared" ref="M37:O37" si="21">L37+3262</f>
        <v>26096</v>
      </c>
      <c r="N37" s="71">
        <f t="shared" si="21"/>
        <v>29358</v>
      </c>
      <c r="O37" s="71">
        <f t="shared" si="21"/>
        <v>32620</v>
      </c>
      <c r="P37" s="63"/>
      <c r="Q37" s="64"/>
      <c r="R37" s="71">
        <f>O37+3262</f>
        <v>35882</v>
      </c>
      <c r="S37" s="71">
        <f>R37+3262</f>
        <v>39144</v>
      </c>
      <c r="T37" s="71">
        <f t="shared" ref="T37:V37" si="22">S37+3262</f>
        <v>42406</v>
      </c>
      <c r="U37" s="71">
        <f t="shared" si="22"/>
        <v>45668</v>
      </c>
      <c r="V37" s="71">
        <f t="shared" si="22"/>
        <v>48930</v>
      </c>
      <c r="W37" s="63"/>
      <c r="X37" s="64"/>
      <c r="Y37" s="71">
        <f>V37+3262</f>
        <v>52192</v>
      </c>
      <c r="Z37" s="71">
        <f>Y37+3262</f>
        <v>55454</v>
      </c>
      <c r="AA37" s="71">
        <f t="shared" ref="AA37:AC37" si="23">Z37+3262</f>
        <v>58716</v>
      </c>
      <c r="AB37" s="71">
        <f t="shared" si="23"/>
        <v>61978</v>
      </c>
      <c r="AC37" s="71">
        <f t="shared" si="23"/>
        <v>65240</v>
      </c>
      <c r="AD37" s="63"/>
      <c r="AE37" s="91"/>
      <c r="AF37" s="32"/>
    </row>
    <row r="38" spans="1:32" x14ac:dyDescent="0.25">
      <c r="A38" s="19" t="s">
        <v>2</v>
      </c>
      <c r="B38" s="15"/>
      <c r="C38" s="15"/>
      <c r="D38" s="4">
        <f>D36/D37</f>
        <v>0</v>
      </c>
      <c r="E38" s="4">
        <f t="shared" ref="E38:AC38" si="24">E36/E37</f>
        <v>0</v>
      </c>
      <c r="F38" s="4">
        <f t="shared" si="24"/>
        <v>0</v>
      </c>
      <c r="G38" s="4">
        <f t="shared" si="24"/>
        <v>0</v>
      </c>
      <c r="H38" s="4">
        <f t="shared" si="24"/>
        <v>0</v>
      </c>
      <c r="I38" s="15"/>
      <c r="J38" s="15"/>
      <c r="K38" s="4">
        <f t="shared" si="24"/>
        <v>0</v>
      </c>
      <c r="L38" s="4">
        <f t="shared" si="24"/>
        <v>0</v>
      </c>
      <c r="M38" s="4">
        <f t="shared" si="24"/>
        <v>0</v>
      </c>
      <c r="N38" s="4">
        <f t="shared" si="24"/>
        <v>0</v>
      </c>
      <c r="O38" s="4">
        <f t="shared" si="24"/>
        <v>0</v>
      </c>
      <c r="P38" s="15"/>
      <c r="Q38" s="15"/>
      <c r="R38" s="4">
        <f t="shared" si="24"/>
        <v>0</v>
      </c>
      <c r="S38" s="4">
        <f t="shared" si="24"/>
        <v>0</v>
      </c>
      <c r="T38" s="4">
        <f t="shared" si="24"/>
        <v>0</v>
      </c>
      <c r="U38" s="4">
        <f t="shared" si="24"/>
        <v>0</v>
      </c>
      <c r="V38" s="4">
        <f t="shared" si="24"/>
        <v>0</v>
      </c>
      <c r="W38" s="15"/>
      <c r="X38" s="15"/>
      <c r="Y38" s="4">
        <f t="shared" si="24"/>
        <v>0</v>
      </c>
      <c r="Z38" s="4">
        <f t="shared" si="24"/>
        <v>0</v>
      </c>
      <c r="AA38" s="4">
        <f t="shared" si="24"/>
        <v>0</v>
      </c>
      <c r="AB38" s="4">
        <f t="shared" si="24"/>
        <v>0</v>
      </c>
      <c r="AC38" s="4">
        <f t="shared" si="24"/>
        <v>0</v>
      </c>
      <c r="AD38" s="15"/>
      <c r="AE38" s="15"/>
      <c r="AF38" s="32"/>
    </row>
    <row r="39" spans="1:32" ht="15.75" thickBot="1" x14ac:dyDescent="0.3">
      <c r="A39" s="20"/>
      <c r="B39" s="16"/>
      <c r="C39" s="16"/>
      <c r="D39" s="7"/>
      <c r="E39" s="26"/>
      <c r="F39" s="26"/>
      <c r="G39" s="7"/>
      <c r="H39" s="7"/>
      <c r="I39" s="16"/>
      <c r="J39" s="55"/>
      <c r="K39" s="73"/>
      <c r="L39" s="7"/>
      <c r="M39" s="7"/>
      <c r="N39" s="7"/>
      <c r="O39" s="7"/>
      <c r="P39" s="16"/>
      <c r="Q39" s="55"/>
      <c r="R39" s="73"/>
      <c r="S39" s="7"/>
      <c r="T39" s="7"/>
      <c r="U39" s="7"/>
      <c r="V39" s="7"/>
      <c r="W39" s="16"/>
      <c r="X39" s="55"/>
      <c r="Y39" s="73"/>
      <c r="Z39" s="7"/>
      <c r="AA39" s="82"/>
      <c r="AB39" s="82"/>
      <c r="AC39" s="7"/>
      <c r="AD39" s="16"/>
      <c r="AE39" s="55"/>
      <c r="AF39" s="32"/>
    </row>
    <row r="40" spans="1:32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</row>
    <row r="41" spans="1:32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</row>
    <row r="42" spans="1:32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32"/>
    </row>
    <row r="43" spans="1:32" x14ac:dyDescent="0.25">
      <c r="A43" s="19" t="s">
        <v>8</v>
      </c>
      <c r="B43" s="60"/>
      <c r="C43" s="60"/>
      <c r="D43" s="56"/>
      <c r="E43" s="56"/>
      <c r="F43" s="56"/>
      <c r="G43" s="56"/>
      <c r="H43" s="56"/>
      <c r="I43" s="60"/>
      <c r="J43" s="61"/>
      <c r="K43" s="69"/>
      <c r="L43" s="56"/>
      <c r="M43" s="56"/>
      <c r="N43" s="56"/>
      <c r="O43" s="56"/>
      <c r="P43" s="60"/>
      <c r="Q43" s="61"/>
      <c r="R43" s="69"/>
      <c r="S43" s="56"/>
      <c r="T43" s="56"/>
      <c r="U43" s="56"/>
      <c r="V43" s="56"/>
      <c r="W43" s="60"/>
      <c r="X43" s="61"/>
      <c r="Y43" s="69"/>
      <c r="Z43" s="56"/>
      <c r="AA43" s="80"/>
      <c r="AB43" s="80"/>
      <c r="AC43" s="56"/>
      <c r="AD43" s="60"/>
      <c r="AE43" s="61"/>
      <c r="AF43" s="32"/>
    </row>
    <row r="44" spans="1:32" x14ac:dyDescent="0.25">
      <c r="A44" s="19" t="s">
        <v>1</v>
      </c>
      <c r="B44" s="63"/>
      <c r="C44" s="63"/>
      <c r="D44" s="52">
        <f>731</f>
        <v>731</v>
      </c>
      <c r="E44" s="52">
        <f>D44+731</f>
        <v>1462</v>
      </c>
      <c r="F44" s="52">
        <f t="shared" ref="F44:H44" si="25">E44+731</f>
        <v>2193</v>
      </c>
      <c r="G44" s="52">
        <f t="shared" si="25"/>
        <v>2924</v>
      </c>
      <c r="H44" s="52">
        <f t="shared" si="25"/>
        <v>3655</v>
      </c>
      <c r="I44" s="63"/>
      <c r="J44" s="64"/>
      <c r="K44" s="71">
        <f>H44+731</f>
        <v>4386</v>
      </c>
      <c r="L44" s="71">
        <f>K44+731</f>
        <v>5117</v>
      </c>
      <c r="M44" s="71">
        <f t="shared" ref="M44:O44" si="26">L44+731</f>
        <v>5848</v>
      </c>
      <c r="N44" s="71">
        <f t="shared" si="26"/>
        <v>6579</v>
      </c>
      <c r="O44" s="71">
        <f t="shared" si="26"/>
        <v>7310</v>
      </c>
      <c r="P44" s="63"/>
      <c r="Q44" s="64"/>
      <c r="R44" s="71">
        <f>O44+731</f>
        <v>8041</v>
      </c>
      <c r="S44" s="71">
        <f>R44+731</f>
        <v>8772</v>
      </c>
      <c r="T44" s="71">
        <f t="shared" ref="T44:V44" si="27">S44+731</f>
        <v>9503</v>
      </c>
      <c r="U44" s="71">
        <f t="shared" si="27"/>
        <v>10234</v>
      </c>
      <c r="V44" s="71">
        <f t="shared" si="27"/>
        <v>10965</v>
      </c>
      <c r="W44" s="63"/>
      <c r="X44" s="64"/>
      <c r="Y44" s="71">
        <f>V44+731</f>
        <v>11696</v>
      </c>
      <c r="Z44" s="71">
        <f>Y44+731</f>
        <v>12427</v>
      </c>
      <c r="AA44" s="71">
        <f t="shared" ref="AA44:AC44" si="28">Z44+731</f>
        <v>13158</v>
      </c>
      <c r="AB44" s="71">
        <f t="shared" si="28"/>
        <v>13889</v>
      </c>
      <c r="AC44" s="71">
        <f t="shared" si="28"/>
        <v>14620</v>
      </c>
      <c r="AD44" s="63"/>
      <c r="AE44" s="91"/>
      <c r="AF44" s="32"/>
    </row>
    <row r="45" spans="1:32" x14ac:dyDescent="0.25">
      <c r="A45" s="19" t="s">
        <v>2</v>
      </c>
      <c r="B45" s="15"/>
      <c r="C45" s="15"/>
      <c r="D45" s="4">
        <f>D43/D44</f>
        <v>0</v>
      </c>
      <c r="E45" s="4">
        <f t="shared" ref="E45:AC45" si="29">E43/E44</f>
        <v>0</v>
      </c>
      <c r="F45" s="4">
        <f t="shared" si="29"/>
        <v>0</v>
      </c>
      <c r="G45" s="4">
        <f t="shared" si="29"/>
        <v>0</v>
      </c>
      <c r="H45" s="4">
        <f t="shared" si="29"/>
        <v>0</v>
      </c>
      <c r="I45" s="15"/>
      <c r="J45" s="15"/>
      <c r="K45" s="4">
        <f t="shared" si="29"/>
        <v>0</v>
      </c>
      <c r="L45" s="4">
        <f t="shared" si="29"/>
        <v>0</v>
      </c>
      <c r="M45" s="4">
        <f t="shared" si="29"/>
        <v>0</v>
      </c>
      <c r="N45" s="4">
        <f t="shared" si="29"/>
        <v>0</v>
      </c>
      <c r="O45" s="4">
        <f t="shared" si="29"/>
        <v>0</v>
      </c>
      <c r="P45" s="15"/>
      <c r="Q45" s="15"/>
      <c r="R45" s="4">
        <f t="shared" si="29"/>
        <v>0</v>
      </c>
      <c r="S45" s="4">
        <f t="shared" si="29"/>
        <v>0</v>
      </c>
      <c r="T45" s="4">
        <f t="shared" si="29"/>
        <v>0</v>
      </c>
      <c r="U45" s="4">
        <f t="shared" si="29"/>
        <v>0</v>
      </c>
      <c r="V45" s="4">
        <f t="shared" si="29"/>
        <v>0</v>
      </c>
      <c r="W45" s="15"/>
      <c r="X45" s="15"/>
      <c r="Y45" s="4">
        <f t="shared" si="29"/>
        <v>0</v>
      </c>
      <c r="Z45" s="4">
        <f t="shared" si="29"/>
        <v>0</v>
      </c>
      <c r="AA45" s="4">
        <f t="shared" si="29"/>
        <v>0</v>
      </c>
      <c r="AB45" s="4">
        <f t="shared" si="29"/>
        <v>0</v>
      </c>
      <c r="AC45" s="4">
        <f t="shared" si="29"/>
        <v>0</v>
      </c>
      <c r="AD45" s="15"/>
      <c r="AE45" s="15"/>
      <c r="AF45" s="32"/>
    </row>
    <row r="46" spans="1:32" ht="15.75" thickBot="1" x14ac:dyDescent="0.3">
      <c r="A46" s="20"/>
      <c r="B46" s="16"/>
      <c r="C46" s="16"/>
      <c r="D46" s="7"/>
      <c r="E46" s="26"/>
      <c r="F46" s="26"/>
      <c r="G46" s="7"/>
      <c r="H46" s="7"/>
      <c r="I46" s="16"/>
      <c r="J46" s="55"/>
      <c r="K46" s="73"/>
      <c r="L46" s="7"/>
      <c r="M46" s="7"/>
      <c r="N46" s="7"/>
      <c r="O46" s="7"/>
      <c r="P46" s="16"/>
      <c r="Q46" s="55"/>
      <c r="R46" s="73"/>
      <c r="S46" s="7"/>
      <c r="T46" s="7"/>
      <c r="U46" s="7"/>
      <c r="V46" s="7"/>
      <c r="W46" s="16"/>
      <c r="X46" s="55"/>
      <c r="Y46" s="73"/>
      <c r="Z46" s="7"/>
      <c r="AA46" s="82"/>
      <c r="AB46" s="82"/>
      <c r="AC46" s="7"/>
      <c r="AD46" s="16"/>
      <c r="AE46" s="55"/>
      <c r="AF46" s="32"/>
    </row>
    <row r="47" spans="1:32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</row>
    <row r="48" spans="1:32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32"/>
    </row>
    <row r="49" spans="1:32" x14ac:dyDescent="0.25">
      <c r="A49" s="19" t="s">
        <v>8</v>
      </c>
      <c r="B49" s="60"/>
      <c r="C49" s="60"/>
      <c r="D49" s="56"/>
      <c r="E49" s="56"/>
      <c r="F49" s="56"/>
      <c r="G49" s="56"/>
      <c r="H49" s="56"/>
      <c r="I49" s="60"/>
      <c r="J49" s="61"/>
      <c r="K49" s="69"/>
      <c r="L49" s="56"/>
      <c r="M49" s="56"/>
      <c r="N49" s="56"/>
      <c r="O49" s="56"/>
      <c r="P49" s="60"/>
      <c r="Q49" s="61"/>
      <c r="R49" s="69"/>
      <c r="S49" s="56"/>
      <c r="T49" s="56"/>
      <c r="U49" s="56"/>
      <c r="V49" s="56"/>
      <c r="W49" s="60"/>
      <c r="X49" s="61"/>
      <c r="Y49" s="69"/>
      <c r="Z49" s="56"/>
      <c r="AA49" s="80"/>
      <c r="AB49" s="80"/>
      <c r="AC49" s="56"/>
      <c r="AD49" s="60"/>
      <c r="AE49" s="61"/>
      <c r="AF49" s="32"/>
    </row>
    <row r="50" spans="1:32" x14ac:dyDescent="0.25">
      <c r="A50" s="19" t="s">
        <v>1</v>
      </c>
      <c r="B50" s="63"/>
      <c r="C50" s="63"/>
      <c r="D50" s="52">
        <v>515</v>
      </c>
      <c r="E50" s="52">
        <f>D50+515</f>
        <v>1030</v>
      </c>
      <c r="F50" s="52">
        <f>E50+515</f>
        <v>1545</v>
      </c>
      <c r="G50" s="52">
        <f t="shared" ref="G50:H50" si="30">F50+515</f>
        <v>2060</v>
      </c>
      <c r="H50" s="52">
        <f t="shared" si="30"/>
        <v>2575</v>
      </c>
      <c r="I50" s="63"/>
      <c r="J50" s="64"/>
      <c r="K50" s="71">
        <f>H50+515</f>
        <v>3090</v>
      </c>
      <c r="L50" s="71">
        <f>K50+515</f>
        <v>3605</v>
      </c>
      <c r="M50" s="71">
        <f t="shared" ref="M50:O50" si="31">L50+515</f>
        <v>4120</v>
      </c>
      <c r="N50" s="71">
        <f t="shared" si="31"/>
        <v>4635</v>
      </c>
      <c r="O50" s="71">
        <f t="shared" si="31"/>
        <v>5150</v>
      </c>
      <c r="P50" s="63"/>
      <c r="Q50" s="64"/>
      <c r="R50" s="71">
        <f>O50+515</f>
        <v>5665</v>
      </c>
      <c r="S50" s="71">
        <f>R50+515</f>
        <v>6180</v>
      </c>
      <c r="T50" s="71">
        <f t="shared" ref="T50:V50" si="32">S50+515</f>
        <v>6695</v>
      </c>
      <c r="U50" s="71">
        <f t="shared" si="32"/>
        <v>7210</v>
      </c>
      <c r="V50" s="71">
        <f t="shared" si="32"/>
        <v>7725</v>
      </c>
      <c r="W50" s="63"/>
      <c r="X50" s="64"/>
      <c r="Y50" s="71">
        <f>V50+515</f>
        <v>8240</v>
      </c>
      <c r="Z50" s="71">
        <f>Y50+515</f>
        <v>8755</v>
      </c>
      <c r="AA50" s="71">
        <f t="shared" ref="AA50:AC50" si="33">Z50+515</f>
        <v>9270</v>
      </c>
      <c r="AB50" s="71">
        <f t="shared" si="33"/>
        <v>9785</v>
      </c>
      <c r="AC50" s="71">
        <f t="shared" si="33"/>
        <v>10300</v>
      </c>
      <c r="AD50" s="63"/>
      <c r="AE50" s="91"/>
      <c r="AF50" s="32"/>
    </row>
    <row r="51" spans="1:32" x14ac:dyDescent="0.25">
      <c r="A51" s="19" t="s">
        <v>2</v>
      </c>
      <c r="B51" s="15"/>
      <c r="C51" s="15"/>
      <c r="D51" s="4">
        <f>D49/D50</f>
        <v>0</v>
      </c>
      <c r="E51" s="4">
        <f t="shared" ref="E51:AC51" si="34">E49/E50</f>
        <v>0</v>
      </c>
      <c r="F51" s="4">
        <f t="shared" si="34"/>
        <v>0</v>
      </c>
      <c r="G51" s="4">
        <f t="shared" si="34"/>
        <v>0</v>
      </c>
      <c r="H51" s="4">
        <f t="shared" si="34"/>
        <v>0</v>
      </c>
      <c r="I51" s="15"/>
      <c r="J51" s="15"/>
      <c r="K51" s="4">
        <f t="shared" si="34"/>
        <v>0</v>
      </c>
      <c r="L51" s="4">
        <f t="shared" si="34"/>
        <v>0</v>
      </c>
      <c r="M51" s="4">
        <f t="shared" si="34"/>
        <v>0</v>
      </c>
      <c r="N51" s="4">
        <f t="shared" si="34"/>
        <v>0</v>
      </c>
      <c r="O51" s="4">
        <f t="shared" si="34"/>
        <v>0</v>
      </c>
      <c r="P51" s="15"/>
      <c r="Q51" s="15"/>
      <c r="R51" s="4">
        <f t="shared" si="34"/>
        <v>0</v>
      </c>
      <c r="S51" s="4">
        <f t="shared" si="34"/>
        <v>0</v>
      </c>
      <c r="T51" s="4">
        <f t="shared" si="34"/>
        <v>0</v>
      </c>
      <c r="U51" s="4">
        <f t="shared" si="34"/>
        <v>0</v>
      </c>
      <c r="V51" s="4">
        <f t="shared" si="34"/>
        <v>0</v>
      </c>
      <c r="W51" s="15"/>
      <c r="X51" s="15"/>
      <c r="Y51" s="4">
        <f t="shared" si="34"/>
        <v>0</v>
      </c>
      <c r="Z51" s="4">
        <f t="shared" si="34"/>
        <v>0</v>
      </c>
      <c r="AA51" s="4">
        <f t="shared" si="34"/>
        <v>0</v>
      </c>
      <c r="AB51" s="4">
        <f t="shared" si="34"/>
        <v>0</v>
      </c>
      <c r="AC51" s="4">
        <f t="shared" si="34"/>
        <v>0</v>
      </c>
      <c r="AD51" s="15"/>
      <c r="AE51" s="15"/>
      <c r="AF51" s="32"/>
    </row>
    <row r="52" spans="1:32" ht="15.75" thickBot="1" x14ac:dyDescent="0.3">
      <c r="A52" s="20"/>
      <c r="B52" s="16"/>
      <c r="C52" s="16"/>
      <c r="D52" s="7"/>
      <c r="E52" s="26"/>
      <c r="F52" s="26"/>
      <c r="G52" s="7"/>
      <c r="H52" s="7"/>
      <c r="I52" s="16"/>
      <c r="J52" s="55"/>
      <c r="K52" s="73"/>
      <c r="L52" s="7"/>
      <c r="M52" s="7"/>
      <c r="N52" s="7"/>
      <c r="O52" s="7"/>
      <c r="P52" s="16"/>
      <c r="Q52" s="55"/>
      <c r="R52" s="73"/>
      <c r="S52" s="7"/>
      <c r="T52" s="7"/>
      <c r="U52" s="7"/>
      <c r="V52" s="7"/>
      <c r="W52" s="16"/>
      <c r="X52" s="55"/>
      <c r="Y52" s="73"/>
      <c r="Z52" s="7"/>
      <c r="AA52" s="82"/>
      <c r="AB52" s="82"/>
      <c r="AC52" s="7"/>
      <c r="AD52" s="16"/>
      <c r="AE52" s="55"/>
      <c r="AF52" s="32"/>
    </row>
    <row r="53" spans="1:3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</row>
    <row r="54" spans="1:32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</row>
    <row r="55" spans="1:32" ht="15.75" thickBo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78"/>
      <c r="AB55" s="78"/>
      <c r="AC55" s="32"/>
      <c r="AD55" s="32"/>
      <c r="AE55" s="32"/>
      <c r="AF55" s="32"/>
    </row>
    <row r="56" spans="1:32" x14ac:dyDescent="0.25">
      <c r="A56" s="18" t="s">
        <v>7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>
        <v>13</v>
      </c>
      <c r="O56" s="5">
        <v>14</v>
      </c>
      <c r="P56" s="5">
        <v>15</v>
      </c>
      <c r="Q56" s="5">
        <v>16</v>
      </c>
      <c r="R56" s="5">
        <v>17</v>
      </c>
      <c r="S56" s="5">
        <v>18</v>
      </c>
      <c r="T56" s="5">
        <v>19</v>
      </c>
      <c r="U56" s="5">
        <v>20</v>
      </c>
      <c r="V56" s="5">
        <v>21</v>
      </c>
      <c r="W56" s="5">
        <v>22</v>
      </c>
      <c r="X56" s="5">
        <v>23</v>
      </c>
      <c r="Y56" s="5">
        <v>24</v>
      </c>
      <c r="Z56" s="5">
        <v>25</v>
      </c>
      <c r="AA56" s="79">
        <v>26</v>
      </c>
      <c r="AB56" s="79">
        <v>27</v>
      </c>
      <c r="AC56" s="5">
        <v>28</v>
      </c>
      <c r="AD56" s="5">
        <v>29</v>
      </c>
      <c r="AE56" s="5">
        <v>30</v>
      </c>
      <c r="AF56" s="32"/>
    </row>
    <row r="57" spans="1:32" x14ac:dyDescent="0.25">
      <c r="A57" s="19" t="s">
        <v>8</v>
      </c>
      <c r="B57" s="60"/>
      <c r="C57" s="60"/>
      <c r="D57" s="56"/>
      <c r="E57" s="56"/>
      <c r="F57" s="56"/>
      <c r="G57" s="56"/>
      <c r="H57" s="56"/>
      <c r="I57" s="60"/>
      <c r="J57" s="61"/>
      <c r="K57" s="69"/>
      <c r="L57" s="56"/>
      <c r="M57" s="56"/>
      <c r="N57" s="56"/>
      <c r="O57" s="56"/>
      <c r="P57" s="60"/>
      <c r="Q57" s="61"/>
      <c r="R57" s="69"/>
      <c r="S57" s="56"/>
      <c r="T57" s="56"/>
      <c r="U57" s="56"/>
      <c r="V57" s="56"/>
      <c r="W57" s="60"/>
      <c r="X57" s="61"/>
      <c r="Y57" s="69"/>
      <c r="Z57" s="56"/>
      <c r="AA57" s="80"/>
      <c r="AB57" s="80"/>
      <c r="AC57" s="56"/>
      <c r="AD57" s="60"/>
      <c r="AE57" s="61"/>
      <c r="AF57" s="32"/>
    </row>
    <row r="58" spans="1:32" x14ac:dyDescent="0.25">
      <c r="A58" s="19" t="s">
        <v>1</v>
      </c>
      <c r="B58" s="63"/>
      <c r="C58" s="63"/>
      <c r="D58" s="52">
        <v>2004</v>
      </c>
      <c r="E58" s="52">
        <f>D58+2004</f>
        <v>4008</v>
      </c>
      <c r="F58" s="52">
        <f>E58+2004</f>
        <v>6012</v>
      </c>
      <c r="G58" s="52">
        <f t="shared" ref="G58:H58" si="35">F58+2004</f>
        <v>8016</v>
      </c>
      <c r="H58" s="52">
        <f t="shared" si="35"/>
        <v>10020</v>
      </c>
      <c r="I58" s="63"/>
      <c r="J58" s="64"/>
      <c r="K58" s="71">
        <f>H58+2004</f>
        <v>12024</v>
      </c>
      <c r="L58" s="71">
        <f>K58+2004</f>
        <v>14028</v>
      </c>
      <c r="M58" s="71">
        <f t="shared" ref="M58:O58" si="36">L58+2004</f>
        <v>16032</v>
      </c>
      <c r="N58" s="71">
        <f t="shared" si="36"/>
        <v>18036</v>
      </c>
      <c r="O58" s="71">
        <f t="shared" si="36"/>
        <v>20040</v>
      </c>
      <c r="P58" s="63"/>
      <c r="Q58" s="64"/>
      <c r="R58" s="71">
        <f>O58+2004</f>
        <v>22044</v>
      </c>
      <c r="S58" s="71">
        <f>R58+2004</f>
        <v>24048</v>
      </c>
      <c r="T58" s="71">
        <f t="shared" ref="T58:V58" si="37">S58+2004</f>
        <v>26052</v>
      </c>
      <c r="U58" s="71">
        <f t="shared" si="37"/>
        <v>28056</v>
      </c>
      <c r="V58" s="71">
        <f t="shared" si="37"/>
        <v>30060</v>
      </c>
      <c r="W58" s="63"/>
      <c r="X58" s="64"/>
      <c r="Y58" s="71">
        <f>V58+2004</f>
        <v>32064</v>
      </c>
      <c r="Z58" s="71">
        <f>Y58+2004</f>
        <v>34068</v>
      </c>
      <c r="AA58" s="71">
        <f t="shared" ref="AA58:AC58" si="38">Z58+2004</f>
        <v>36072</v>
      </c>
      <c r="AB58" s="71">
        <f t="shared" si="38"/>
        <v>38076</v>
      </c>
      <c r="AC58" s="71">
        <f t="shared" si="38"/>
        <v>40080</v>
      </c>
      <c r="AD58" s="63"/>
      <c r="AE58" s="91"/>
      <c r="AF58" s="32"/>
    </row>
    <row r="59" spans="1:32" x14ac:dyDescent="0.25">
      <c r="A59" s="19" t="s">
        <v>2</v>
      </c>
      <c r="B59" s="15"/>
      <c r="C59" s="15"/>
      <c r="D59" s="4">
        <f>D57/D58</f>
        <v>0</v>
      </c>
      <c r="E59" s="4">
        <f t="shared" ref="E59:AC59" si="39">E57/E58</f>
        <v>0</v>
      </c>
      <c r="F59" s="4">
        <f t="shared" si="39"/>
        <v>0</v>
      </c>
      <c r="G59" s="4">
        <f t="shared" si="39"/>
        <v>0</v>
      </c>
      <c r="H59" s="4">
        <f t="shared" si="39"/>
        <v>0</v>
      </c>
      <c r="I59" s="15"/>
      <c r="J59" s="15"/>
      <c r="K59" s="4">
        <f t="shared" si="39"/>
        <v>0</v>
      </c>
      <c r="L59" s="4">
        <f t="shared" si="39"/>
        <v>0</v>
      </c>
      <c r="M59" s="4">
        <f t="shared" si="39"/>
        <v>0</v>
      </c>
      <c r="N59" s="4">
        <f t="shared" si="39"/>
        <v>0</v>
      </c>
      <c r="O59" s="4">
        <f t="shared" si="39"/>
        <v>0</v>
      </c>
      <c r="P59" s="15"/>
      <c r="Q59" s="15"/>
      <c r="R59" s="4">
        <f t="shared" si="39"/>
        <v>0</v>
      </c>
      <c r="S59" s="4">
        <f t="shared" si="39"/>
        <v>0</v>
      </c>
      <c r="T59" s="4">
        <f t="shared" si="39"/>
        <v>0</v>
      </c>
      <c r="U59" s="4">
        <f t="shared" si="39"/>
        <v>0</v>
      </c>
      <c r="V59" s="4">
        <f t="shared" si="39"/>
        <v>0</v>
      </c>
      <c r="W59" s="15"/>
      <c r="X59" s="15"/>
      <c r="Y59" s="4">
        <f t="shared" si="39"/>
        <v>0</v>
      </c>
      <c r="Z59" s="4">
        <f t="shared" si="39"/>
        <v>0</v>
      </c>
      <c r="AA59" s="4">
        <f t="shared" si="39"/>
        <v>0</v>
      </c>
      <c r="AB59" s="4">
        <f t="shared" si="39"/>
        <v>0</v>
      </c>
      <c r="AC59" s="4">
        <f t="shared" si="39"/>
        <v>0</v>
      </c>
      <c r="AD59" s="15"/>
      <c r="AE59" s="15"/>
      <c r="AF59" s="32"/>
    </row>
    <row r="60" spans="1:32" ht="15.75" thickBot="1" x14ac:dyDescent="0.3">
      <c r="A60" s="20"/>
      <c r="B60" s="16"/>
      <c r="C60" s="16"/>
      <c r="D60" s="7"/>
      <c r="E60" s="26"/>
      <c r="F60" s="26"/>
      <c r="G60" s="7"/>
      <c r="H60" s="7"/>
      <c r="I60" s="16"/>
      <c r="J60" s="55"/>
      <c r="K60" s="73"/>
      <c r="L60" s="7"/>
      <c r="M60" s="7"/>
      <c r="N60" s="7"/>
      <c r="O60" s="7"/>
      <c r="P60" s="16"/>
      <c r="Q60" s="55"/>
      <c r="R60" s="73"/>
      <c r="S60" s="7"/>
      <c r="T60" s="7"/>
      <c r="U60" s="7"/>
      <c r="V60" s="7"/>
      <c r="W60" s="16"/>
      <c r="X60" s="55"/>
      <c r="Y60" s="73"/>
      <c r="Z60" s="7"/>
      <c r="AA60" s="82"/>
      <c r="AB60" s="82"/>
      <c r="AC60" s="7"/>
      <c r="AD60" s="16"/>
      <c r="AE60" s="55"/>
      <c r="AF60" s="32"/>
    </row>
    <row r="61" spans="1:32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</row>
    <row r="62" spans="1:32" ht="15.75" thickBo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78"/>
      <c r="AB62" s="78"/>
      <c r="AC62" s="32"/>
      <c r="AD62" s="32"/>
      <c r="AE62" s="32"/>
      <c r="AF62" s="32"/>
    </row>
    <row r="63" spans="1:32" x14ac:dyDescent="0.25">
      <c r="A63" s="18" t="s">
        <v>40</v>
      </c>
      <c r="B63" s="5">
        <v>1</v>
      </c>
      <c r="C63" s="5">
        <v>2</v>
      </c>
      <c r="D63" s="5">
        <v>3</v>
      </c>
      <c r="E63" s="5">
        <v>4</v>
      </c>
      <c r="F63" s="5">
        <v>5</v>
      </c>
      <c r="G63" s="5">
        <v>6</v>
      </c>
      <c r="H63" s="5">
        <v>7</v>
      </c>
      <c r="I63" s="5">
        <v>8</v>
      </c>
      <c r="J63" s="5">
        <v>9</v>
      </c>
      <c r="K63" s="5">
        <v>10</v>
      </c>
      <c r="L63" s="5">
        <v>11</v>
      </c>
      <c r="M63" s="5">
        <v>12</v>
      </c>
      <c r="N63" s="5">
        <v>13</v>
      </c>
      <c r="O63" s="5">
        <v>14</v>
      </c>
      <c r="P63" s="5">
        <v>15</v>
      </c>
      <c r="Q63" s="5">
        <v>16</v>
      </c>
      <c r="R63" s="5">
        <v>17</v>
      </c>
      <c r="S63" s="5">
        <v>18</v>
      </c>
      <c r="T63" s="5">
        <v>19</v>
      </c>
      <c r="U63" s="5">
        <v>20</v>
      </c>
      <c r="V63" s="5">
        <v>21</v>
      </c>
      <c r="W63" s="5">
        <v>22</v>
      </c>
      <c r="X63" s="5">
        <v>23</v>
      </c>
      <c r="Y63" s="5">
        <v>24</v>
      </c>
      <c r="Z63" s="5">
        <v>25</v>
      </c>
      <c r="AA63" s="79">
        <v>26</v>
      </c>
      <c r="AB63" s="79">
        <v>27</v>
      </c>
      <c r="AC63" s="5">
        <v>28</v>
      </c>
      <c r="AD63" s="5">
        <v>29</v>
      </c>
      <c r="AE63" s="5">
        <v>30</v>
      </c>
    </row>
    <row r="64" spans="1:32" x14ac:dyDescent="0.25">
      <c r="A64" s="19" t="s">
        <v>8</v>
      </c>
      <c r="B64" s="60"/>
      <c r="C64" s="60"/>
      <c r="D64" s="56"/>
      <c r="E64" s="56"/>
      <c r="F64" s="56"/>
      <c r="G64" s="56"/>
      <c r="H64" s="56"/>
      <c r="I64" s="60"/>
      <c r="J64" s="61"/>
      <c r="K64" s="69"/>
      <c r="L64" s="56"/>
      <c r="M64" s="56"/>
      <c r="N64" s="56"/>
      <c r="O64" s="56"/>
      <c r="P64" s="60"/>
      <c r="Q64" s="61"/>
      <c r="R64" s="69"/>
      <c r="S64" s="56"/>
      <c r="T64" s="56"/>
      <c r="U64" s="56"/>
      <c r="V64" s="56"/>
      <c r="W64" s="60"/>
      <c r="X64" s="61"/>
      <c r="Y64" s="69"/>
      <c r="Z64" s="56"/>
      <c r="AA64" s="80"/>
      <c r="AB64" s="80"/>
      <c r="AC64" s="56"/>
      <c r="AD64" s="60"/>
      <c r="AE64" s="61"/>
    </row>
    <row r="65" spans="1:31" x14ac:dyDescent="0.25">
      <c r="A65" s="19" t="s">
        <v>1</v>
      </c>
      <c r="B65" s="63"/>
      <c r="C65" s="63"/>
      <c r="D65" s="52">
        <v>913</v>
      </c>
      <c r="E65" s="52">
        <f>D65+913</f>
        <v>1826</v>
      </c>
      <c r="F65" s="52">
        <f t="shared" ref="F65:H65" si="40">E65+913</f>
        <v>2739</v>
      </c>
      <c r="G65" s="52">
        <f t="shared" si="40"/>
        <v>3652</v>
      </c>
      <c r="H65" s="52">
        <f t="shared" si="40"/>
        <v>4565</v>
      </c>
      <c r="I65" s="63"/>
      <c r="J65" s="64"/>
      <c r="K65" s="71">
        <f>H65+913</f>
        <v>5478</v>
      </c>
      <c r="L65" s="71">
        <f>K65+913</f>
        <v>6391</v>
      </c>
      <c r="M65" s="71">
        <f t="shared" ref="M65:O65" si="41">L65+913</f>
        <v>7304</v>
      </c>
      <c r="N65" s="71">
        <f t="shared" si="41"/>
        <v>8217</v>
      </c>
      <c r="O65" s="71">
        <f t="shared" si="41"/>
        <v>9130</v>
      </c>
      <c r="P65" s="63"/>
      <c r="Q65" s="64"/>
      <c r="R65" s="71">
        <f>O65+913</f>
        <v>10043</v>
      </c>
      <c r="S65" s="71">
        <f>R65+913</f>
        <v>10956</v>
      </c>
      <c r="T65" s="71">
        <f t="shared" ref="T65:V65" si="42">S65+913</f>
        <v>11869</v>
      </c>
      <c r="U65" s="71">
        <f t="shared" si="42"/>
        <v>12782</v>
      </c>
      <c r="V65" s="71">
        <f t="shared" si="42"/>
        <v>13695</v>
      </c>
      <c r="W65" s="63"/>
      <c r="X65" s="64"/>
      <c r="Y65" s="71">
        <f>V65+913</f>
        <v>14608</v>
      </c>
      <c r="Z65" s="71">
        <f>Y65+913</f>
        <v>15521</v>
      </c>
      <c r="AA65" s="71">
        <f t="shared" ref="AA65:AC65" si="43">Z65+913</f>
        <v>16434</v>
      </c>
      <c r="AB65" s="71">
        <f t="shared" si="43"/>
        <v>17347</v>
      </c>
      <c r="AC65" s="71">
        <f t="shared" si="43"/>
        <v>18260</v>
      </c>
      <c r="AD65" s="63"/>
      <c r="AE65" s="91"/>
    </row>
    <row r="66" spans="1:31" x14ac:dyDescent="0.25">
      <c r="A66" s="19" t="s">
        <v>2</v>
      </c>
      <c r="B66" s="15"/>
      <c r="C66" s="15"/>
      <c r="D66" s="4">
        <f>D64/D65</f>
        <v>0</v>
      </c>
      <c r="E66" s="4">
        <f t="shared" ref="E66:AC66" si="44">E64/E65</f>
        <v>0</v>
      </c>
      <c r="F66" s="4">
        <f t="shared" si="44"/>
        <v>0</v>
      </c>
      <c r="G66" s="4">
        <f t="shared" si="44"/>
        <v>0</v>
      </c>
      <c r="H66" s="4">
        <f t="shared" si="44"/>
        <v>0</v>
      </c>
      <c r="I66" s="15"/>
      <c r="J66" s="15"/>
      <c r="K66" s="4">
        <f t="shared" si="44"/>
        <v>0</v>
      </c>
      <c r="L66" s="4">
        <f t="shared" si="44"/>
        <v>0</v>
      </c>
      <c r="M66" s="4">
        <f t="shared" si="44"/>
        <v>0</v>
      </c>
      <c r="N66" s="4">
        <f t="shared" si="44"/>
        <v>0</v>
      </c>
      <c r="O66" s="4">
        <f t="shared" si="44"/>
        <v>0</v>
      </c>
      <c r="P66" s="15"/>
      <c r="Q66" s="15"/>
      <c r="R66" s="4">
        <f t="shared" si="44"/>
        <v>0</v>
      </c>
      <c r="S66" s="4">
        <f t="shared" si="44"/>
        <v>0</v>
      </c>
      <c r="T66" s="4">
        <f t="shared" si="44"/>
        <v>0</v>
      </c>
      <c r="U66" s="4">
        <f t="shared" si="44"/>
        <v>0</v>
      </c>
      <c r="V66" s="4">
        <f t="shared" si="44"/>
        <v>0</v>
      </c>
      <c r="W66" s="15"/>
      <c r="X66" s="15"/>
      <c r="Y66" s="4">
        <f t="shared" si="44"/>
        <v>0</v>
      </c>
      <c r="Z66" s="4">
        <f t="shared" si="44"/>
        <v>0</v>
      </c>
      <c r="AA66" s="4">
        <f t="shared" si="44"/>
        <v>0</v>
      </c>
      <c r="AB66" s="4">
        <f t="shared" si="44"/>
        <v>0</v>
      </c>
      <c r="AC66" s="4">
        <f t="shared" si="44"/>
        <v>0</v>
      </c>
      <c r="AD66" s="15"/>
      <c r="AE66" s="15"/>
    </row>
    <row r="67" spans="1:31" ht="15.75" thickBot="1" x14ac:dyDescent="0.3">
      <c r="A67" s="20"/>
      <c r="B67" s="16"/>
      <c r="C67" s="16"/>
      <c r="D67" s="7"/>
      <c r="E67" s="26"/>
      <c r="F67" s="26"/>
      <c r="G67" s="7"/>
      <c r="H67" s="7"/>
      <c r="I67" s="16"/>
      <c r="J67" s="55"/>
      <c r="K67" s="73"/>
      <c r="L67" s="7"/>
      <c r="M67" s="7"/>
      <c r="N67" s="7"/>
      <c r="O67" s="7"/>
      <c r="P67" s="16"/>
      <c r="Q67" s="55"/>
      <c r="R67" s="73"/>
      <c r="S67" s="7"/>
      <c r="T67" s="7"/>
      <c r="U67" s="7"/>
      <c r="V67" s="7"/>
      <c r="W67" s="16"/>
      <c r="X67" s="55"/>
      <c r="Y67" s="73"/>
      <c r="Z67" s="7"/>
      <c r="AA67" s="82"/>
      <c r="AB67" s="82"/>
      <c r="AC67" s="7"/>
      <c r="AD67" s="16"/>
      <c r="AE67" s="55"/>
    </row>
    <row r="69" spans="1:31" ht="15.75" thickBot="1" x14ac:dyDescent="0.3"/>
    <row r="70" spans="1:31" x14ac:dyDescent="0.25">
      <c r="A70" s="18" t="s">
        <v>41</v>
      </c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N70" s="5">
        <v>13</v>
      </c>
      <c r="O70" s="5">
        <v>14</v>
      </c>
      <c r="P70" s="5">
        <v>15</v>
      </c>
      <c r="Q70" s="5">
        <v>16</v>
      </c>
      <c r="R70" s="5">
        <v>17</v>
      </c>
      <c r="S70" s="5">
        <v>18</v>
      </c>
      <c r="T70" s="5">
        <v>19</v>
      </c>
      <c r="U70" s="5">
        <v>20</v>
      </c>
      <c r="V70" s="5">
        <v>21</v>
      </c>
      <c r="W70" s="5">
        <v>22</v>
      </c>
      <c r="X70" s="5">
        <v>23</v>
      </c>
      <c r="Y70" s="5">
        <v>24</v>
      </c>
      <c r="Z70" s="5">
        <v>25</v>
      </c>
      <c r="AA70" s="79">
        <v>26</v>
      </c>
      <c r="AB70" s="79">
        <v>27</v>
      </c>
      <c r="AC70" s="5">
        <v>28</v>
      </c>
      <c r="AD70" s="5">
        <v>29</v>
      </c>
      <c r="AE70" s="5">
        <v>30</v>
      </c>
    </row>
    <row r="71" spans="1:31" x14ac:dyDescent="0.25">
      <c r="A71" s="19" t="s">
        <v>8</v>
      </c>
      <c r="B71" s="60"/>
      <c r="C71" s="60"/>
      <c r="D71" s="56"/>
      <c r="E71" s="56"/>
      <c r="F71" s="56"/>
      <c r="G71" s="56"/>
      <c r="H71" s="56"/>
      <c r="I71" s="60"/>
      <c r="J71" s="61"/>
      <c r="K71" s="69"/>
      <c r="L71" s="56"/>
      <c r="M71" s="56"/>
      <c r="N71" s="56"/>
      <c r="O71" s="56"/>
      <c r="P71" s="60"/>
      <c r="Q71" s="61"/>
      <c r="R71" s="69"/>
      <c r="S71" s="56"/>
      <c r="T71" s="56"/>
      <c r="U71" s="56"/>
      <c r="V71" s="56"/>
      <c r="W71" s="60"/>
      <c r="X71" s="61"/>
      <c r="Y71" s="69"/>
      <c r="Z71" s="56"/>
      <c r="AA71" s="80"/>
      <c r="AB71" s="80"/>
      <c r="AC71" s="56"/>
      <c r="AD71" s="60"/>
      <c r="AE71" s="61"/>
    </row>
    <row r="72" spans="1:31" x14ac:dyDescent="0.25">
      <c r="A72" s="19" t="s">
        <v>1</v>
      </c>
      <c r="B72" s="63"/>
      <c r="C72" s="63"/>
      <c r="D72" s="52">
        <v>861</v>
      </c>
      <c r="E72" s="52">
        <f>D72+861</f>
        <v>1722</v>
      </c>
      <c r="F72" s="52">
        <f t="shared" ref="F72:H72" si="45">E72+861</f>
        <v>2583</v>
      </c>
      <c r="G72" s="52">
        <f t="shared" si="45"/>
        <v>3444</v>
      </c>
      <c r="H72" s="52">
        <f t="shared" si="45"/>
        <v>4305</v>
      </c>
      <c r="I72" s="63"/>
      <c r="J72" s="64"/>
      <c r="K72" s="71">
        <f>H72+861</f>
        <v>5166</v>
      </c>
      <c r="L72" s="71">
        <f>K72+861</f>
        <v>6027</v>
      </c>
      <c r="M72" s="71">
        <f t="shared" ref="M72:O72" si="46">L72+861</f>
        <v>6888</v>
      </c>
      <c r="N72" s="71">
        <f t="shared" si="46"/>
        <v>7749</v>
      </c>
      <c r="O72" s="71">
        <f t="shared" si="46"/>
        <v>8610</v>
      </c>
      <c r="P72" s="63"/>
      <c r="Q72" s="64"/>
      <c r="R72" s="71">
        <f>O72+861</f>
        <v>9471</v>
      </c>
      <c r="S72" s="71">
        <f>R72+861</f>
        <v>10332</v>
      </c>
      <c r="T72" s="71">
        <f t="shared" ref="T72:V72" si="47">S72+861</f>
        <v>11193</v>
      </c>
      <c r="U72" s="71">
        <f t="shared" si="47"/>
        <v>12054</v>
      </c>
      <c r="V72" s="71">
        <f t="shared" si="47"/>
        <v>12915</v>
      </c>
      <c r="W72" s="63"/>
      <c r="X72" s="64"/>
      <c r="Y72" s="71">
        <f>V72+861</f>
        <v>13776</v>
      </c>
      <c r="Z72" s="71">
        <f>Y72+861</f>
        <v>14637</v>
      </c>
      <c r="AA72" s="71">
        <f t="shared" ref="AA72:AC72" si="48">Z72+861</f>
        <v>15498</v>
      </c>
      <c r="AB72" s="71">
        <f t="shared" si="48"/>
        <v>16359</v>
      </c>
      <c r="AC72" s="71">
        <f t="shared" si="48"/>
        <v>17220</v>
      </c>
      <c r="AD72" s="63"/>
      <c r="AE72" s="91"/>
    </row>
    <row r="73" spans="1:31" x14ac:dyDescent="0.25">
      <c r="A73" s="19" t="s">
        <v>2</v>
      </c>
      <c r="B73" s="15"/>
      <c r="C73" s="15"/>
      <c r="D73" s="4">
        <f>D71/D72</f>
        <v>0</v>
      </c>
      <c r="E73" s="4">
        <f t="shared" ref="E73:AC73" si="49">E71/E72</f>
        <v>0</v>
      </c>
      <c r="F73" s="4">
        <f t="shared" si="49"/>
        <v>0</v>
      </c>
      <c r="G73" s="4">
        <f t="shared" si="49"/>
        <v>0</v>
      </c>
      <c r="H73" s="4">
        <f t="shared" si="49"/>
        <v>0</v>
      </c>
      <c r="I73" s="15"/>
      <c r="J73" s="15"/>
      <c r="K73" s="4">
        <f t="shared" si="49"/>
        <v>0</v>
      </c>
      <c r="L73" s="4">
        <f t="shared" si="49"/>
        <v>0</v>
      </c>
      <c r="M73" s="4">
        <f t="shared" si="49"/>
        <v>0</v>
      </c>
      <c r="N73" s="4">
        <f t="shared" si="49"/>
        <v>0</v>
      </c>
      <c r="O73" s="4">
        <f t="shared" si="49"/>
        <v>0</v>
      </c>
      <c r="P73" s="15"/>
      <c r="Q73" s="15"/>
      <c r="R73" s="4">
        <f t="shared" si="49"/>
        <v>0</v>
      </c>
      <c r="S73" s="4">
        <f t="shared" si="49"/>
        <v>0</v>
      </c>
      <c r="T73" s="4">
        <f t="shared" si="49"/>
        <v>0</v>
      </c>
      <c r="U73" s="4">
        <f t="shared" si="49"/>
        <v>0</v>
      </c>
      <c r="V73" s="4">
        <f t="shared" si="49"/>
        <v>0</v>
      </c>
      <c r="W73" s="15"/>
      <c r="X73" s="15"/>
      <c r="Y73" s="4">
        <f t="shared" si="49"/>
        <v>0</v>
      </c>
      <c r="Z73" s="4">
        <f t="shared" si="49"/>
        <v>0</v>
      </c>
      <c r="AA73" s="4">
        <f t="shared" si="49"/>
        <v>0</v>
      </c>
      <c r="AB73" s="4">
        <f t="shared" si="49"/>
        <v>0</v>
      </c>
      <c r="AC73" s="4">
        <f t="shared" si="49"/>
        <v>0</v>
      </c>
      <c r="AD73" s="15"/>
      <c r="AE73" s="15"/>
    </row>
    <row r="74" spans="1:31" ht="15.75" thickBot="1" x14ac:dyDescent="0.3">
      <c r="A74" s="20"/>
      <c r="B74" s="16"/>
      <c r="C74" s="16"/>
      <c r="D74" s="7"/>
      <c r="E74" s="26"/>
      <c r="F74" s="26"/>
      <c r="G74" s="7"/>
      <c r="H74" s="7"/>
      <c r="I74" s="16"/>
      <c r="J74" s="55"/>
      <c r="K74" s="73"/>
      <c r="L74" s="7"/>
      <c r="M74" s="7"/>
      <c r="N74" s="7"/>
      <c r="O74" s="7"/>
      <c r="P74" s="16"/>
      <c r="Q74" s="55"/>
      <c r="R74" s="73"/>
      <c r="S74" s="7"/>
      <c r="T74" s="7"/>
      <c r="U74" s="7"/>
      <c r="V74" s="7"/>
      <c r="W74" s="16"/>
      <c r="X74" s="55"/>
      <c r="Y74" s="73"/>
      <c r="Z74" s="7"/>
      <c r="AA74" s="82"/>
      <c r="AB74" s="82"/>
      <c r="AC74" s="7"/>
      <c r="AD74" s="16"/>
      <c r="AE74" s="55"/>
    </row>
  </sheetData>
  <mergeCells count="1">
    <mergeCell ref="C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74"/>
  <sheetViews>
    <sheetView zoomScale="75" zoomScaleNormal="75" workbookViewId="0">
      <selection activeCell="AG22" sqref="AG22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29" width="8.7109375" customWidth="1"/>
    <col min="30" max="30" width="11.5703125" bestFit="1" customWidth="1"/>
    <col min="31" max="31" width="10.140625" bestFit="1" customWidth="1"/>
    <col min="32" max="32" width="10.7109375" bestFit="1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/>
      <c r="AH3">
        <f>23</f>
        <v>23</v>
      </c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56"/>
      <c r="C8" s="56"/>
      <c r="D8" s="56"/>
      <c r="E8" s="56"/>
      <c r="F8" s="56"/>
      <c r="G8" s="60"/>
      <c r="H8" s="60"/>
      <c r="I8" s="56"/>
      <c r="J8" s="68"/>
      <c r="K8" s="69"/>
      <c r="L8" s="56"/>
      <c r="M8" s="56"/>
      <c r="N8" s="60"/>
      <c r="O8" s="60"/>
      <c r="P8" s="56"/>
      <c r="Q8" s="68"/>
      <c r="R8" s="69"/>
      <c r="S8" s="56"/>
      <c r="T8" s="56"/>
      <c r="U8" s="60"/>
      <c r="V8" s="60"/>
      <c r="W8" s="56"/>
      <c r="X8" s="68"/>
      <c r="Y8" s="69"/>
      <c r="Z8" s="56"/>
      <c r="AA8" s="80"/>
      <c r="AB8" s="86"/>
      <c r="AC8" s="60"/>
      <c r="AD8" s="56"/>
      <c r="AE8" s="68"/>
      <c r="AF8" s="69"/>
      <c r="AG8" s="58"/>
      <c r="AH8" s="2"/>
      <c r="AI8" s="2"/>
      <c r="AJ8" s="2"/>
      <c r="AK8" s="10"/>
    </row>
    <row r="9" spans="1:37" x14ac:dyDescent="0.25">
      <c r="A9" s="19" t="s">
        <v>1</v>
      </c>
      <c r="B9" s="52">
        <v>5856</v>
      </c>
      <c r="C9" s="52">
        <f>B9+5856</f>
        <v>11712</v>
      </c>
      <c r="D9" s="52">
        <f t="shared" ref="D9:F9" si="0">C9+5856</f>
        <v>17568</v>
      </c>
      <c r="E9" s="52">
        <f t="shared" si="0"/>
        <v>23424</v>
      </c>
      <c r="F9" s="52">
        <f t="shared" si="0"/>
        <v>29280</v>
      </c>
      <c r="G9" s="63"/>
      <c r="H9" s="63"/>
      <c r="I9" s="52">
        <f>F9+5856</f>
        <v>35136</v>
      </c>
      <c r="J9" s="70">
        <f>I9+5856</f>
        <v>40992</v>
      </c>
      <c r="K9" s="70">
        <f t="shared" ref="K9:M9" si="1">J9+5856</f>
        <v>46848</v>
      </c>
      <c r="L9" s="70">
        <f t="shared" si="1"/>
        <v>52704</v>
      </c>
      <c r="M9" s="70">
        <f t="shared" si="1"/>
        <v>58560</v>
      </c>
      <c r="N9" s="85"/>
      <c r="O9" s="63"/>
      <c r="P9" s="52">
        <f>M9+5856</f>
        <v>64416</v>
      </c>
      <c r="Q9" s="70">
        <f>P9+5856</f>
        <v>70272</v>
      </c>
      <c r="R9" s="70">
        <f t="shared" ref="R9:T9" si="2">Q9+5856</f>
        <v>76128</v>
      </c>
      <c r="S9" s="70">
        <f t="shared" si="2"/>
        <v>81984</v>
      </c>
      <c r="T9" s="70">
        <f t="shared" si="2"/>
        <v>87840</v>
      </c>
      <c r="U9" s="85"/>
      <c r="V9" s="63"/>
      <c r="W9" s="52">
        <f>T9+5856</f>
        <v>93696</v>
      </c>
      <c r="X9" s="70">
        <f>W9+5856</f>
        <v>99552</v>
      </c>
      <c r="Y9" s="70">
        <f t="shared" ref="Y9:AA9" si="3">X9+5856</f>
        <v>105408</v>
      </c>
      <c r="Z9" s="70">
        <f t="shared" si="3"/>
        <v>111264</v>
      </c>
      <c r="AA9" s="70">
        <f t="shared" si="3"/>
        <v>117120</v>
      </c>
      <c r="AB9" s="85"/>
      <c r="AC9" s="63"/>
      <c r="AD9" s="52">
        <f>AA9+5856</f>
        <v>122976</v>
      </c>
      <c r="AE9" s="83">
        <f>AD9+5856</f>
        <v>128832</v>
      </c>
      <c r="AF9" s="83">
        <f>AE9+5856</f>
        <v>134688</v>
      </c>
      <c r="AG9" s="58"/>
      <c r="AH9" s="2"/>
      <c r="AI9" s="2"/>
      <c r="AJ9" s="2"/>
      <c r="AK9" s="2"/>
    </row>
    <row r="10" spans="1:37" x14ac:dyDescent="0.25">
      <c r="A10" s="19" t="s">
        <v>2</v>
      </c>
      <c r="B10" s="4">
        <f>B8/B9</f>
        <v>0</v>
      </c>
      <c r="C10" s="4">
        <f t="shared" ref="C10:AF10" si="4">C8/C9</f>
        <v>0</v>
      </c>
      <c r="D10" s="4">
        <f t="shared" si="4"/>
        <v>0</v>
      </c>
      <c r="E10" s="4">
        <f t="shared" si="4"/>
        <v>0</v>
      </c>
      <c r="F10" s="4">
        <f t="shared" si="4"/>
        <v>0</v>
      </c>
      <c r="G10" s="15"/>
      <c r="H10" s="15"/>
      <c r="I10" s="4">
        <f t="shared" si="4"/>
        <v>0</v>
      </c>
      <c r="J10" s="4">
        <f t="shared" si="4"/>
        <v>0</v>
      </c>
      <c r="K10" s="4">
        <f t="shared" si="4"/>
        <v>0</v>
      </c>
      <c r="L10" s="4">
        <f t="shared" si="4"/>
        <v>0</v>
      </c>
      <c r="M10" s="4">
        <f t="shared" si="4"/>
        <v>0</v>
      </c>
      <c r="N10" s="15"/>
      <c r="O10" s="15"/>
      <c r="P10" s="4">
        <f t="shared" si="4"/>
        <v>0</v>
      </c>
      <c r="Q10" s="4">
        <f t="shared" si="4"/>
        <v>0</v>
      </c>
      <c r="R10" s="4">
        <f t="shared" si="4"/>
        <v>0</v>
      </c>
      <c r="S10" s="4">
        <f t="shared" si="4"/>
        <v>0</v>
      </c>
      <c r="T10" s="4">
        <f t="shared" si="4"/>
        <v>0</v>
      </c>
      <c r="U10" s="15"/>
      <c r="V10" s="15"/>
      <c r="W10" s="4">
        <f t="shared" si="4"/>
        <v>0</v>
      </c>
      <c r="X10" s="4">
        <f t="shared" si="4"/>
        <v>0</v>
      </c>
      <c r="Y10" s="4">
        <f t="shared" si="4"/>
        <v>0</v>
      </c>
      <c r="Z10" s="4">
        <f t="shared" si="4"/>
        <v>0</v>
      </c>
      <c r="AA10" s="4">
        <f t="shared" si="4"/>
        <v>0</v>
      </c>
      <c r="AB10" s="15"/>
      <c r="AC10" s="15"/>
      <c r="AD10" s="4">
        <f t="shared" si="4"/>
        <v>0</v>
      </c>
      <c r="AE10" s="4">
        <f t="shared" si="4"/>
        <v>0</v>
      </c>
      <c r="AF10" s="4">
        <f t="shared" si="4"/>
        <v>0</v>
      </c>
      <c r="AG10" s="11"/>
      <c r="AH10" s="11"/>
      <c r="AI10" s="11"/>
      <c r="AJ10" s="11"/>
      <c r="AK10" s="11"/>
    </row>
    <row r="11" spans="1:37" ht="15.75" thickBot="1" x14ac:dyDescent="0.3">
      <c r="A11" s="20"/>
      <c r="B11" s="7"/>
      <c r="C11" s="7"/>
      <c r="D11" s="7"/>
      <c r="E11" s="26"/>
      <c r="F11" s="26"/>
      <c r="G11" s="16"/>
      <c r="H11" s="16"/>
      <c r="I11" s="7"/>
      <c r="J11" s="72"/>
      <c r="K11" s="73"/>
      <c r="L11" s="7"/>
      <c r="M11" s="7"/>
      <c r="N11" s="16"/>
      <c r="O11" s="16"/>
      <c r="P11" s="7"/>
      <c r="Q11" s="72"/>
      <c r="R11" s="73"/>
      <c r="S11" s="7"/>
      <c r="T11" s="7"/>
      <c r="U11" s="16"/>
      <c r="V11" s="16"/>
      <c r="W11" s="7"/>
      <c r="X11" s="72"/>
      <c r="Y11" s="73"/>
      <c r="Z11" s="7"/>
      <c r="AA11" s="82"/>
      <c r="AB11" s="87"/>
      <c r="AC11" s="16"/>
      <c r="AD11" s="7"/>
      <c r="AE11" s="72"/>
      <c r="AF11" s="73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56"/>
      <c r="C15" s="56"/>
      <c r="D15" s="56"/>
      <c r="E15" s="56"/>
      <c r="F15" s="56"/>
      <c r="G15" s="60"/>
      <c r="H15" s="60"/>
      <c r="I15" s="56"/>
      <c r="J15" s="68"/>
      <c r="K15" s="69"/>
      <c r="L15" s="56"/>
      <c r="M15" s="56"/>
      <c r="N15" s="60"/>
      <c r="O15" s="60"/>
      <c r="P15" s="56"/>
      <c r="Q15" s="68"/>
      <c r="R15" s="69"/>
      <c r="S15" s="56"/>
      <c r="T15" s="56"/>
      <c r="U15" s="60"/>
      <c r="V15" s="60"/>
      <c r="W15" s="56"/>
      <c r="X15" s="68"/>
      <c r="Y15" s="69"/>
      <c r="Z15" s="56"/>
      <c r="AA15" s="80"/>
      <c r="AB15" s="86"/>
      <c r="AC15" s="60"/>
      <c r="AD15" s="56"/>
      <c r="AE15" s="68"/>
      <c r="AF15" s="69"/>
      <c r="AG15" s="32"/>
    </row>
    <row r="16" spans="1:37" x14ac:dyDescent="0.25">
      <c r="A16" s="19" t="s">
        <v>1</v>
      </c>
      <c r="B16" s="52">
        <v>792</v>
      </c>
      <c r="C16" s="52">
        <f>B16+792</f>
        <v>1584</v>
      </c>
      <c r="D16" s="52">
        <f t="shared" ref="D16:F16" si="5">C16+792</f>
        <v>2376</v>
      </c>
      <c r="E16" s="52">
        <f t="shared" si="5"/>
        <v>3168</v>
      </c>
      <c r="F16" s="52">
        <f t="shared" si="5"/>
        <v>3960</v>
      </c>
      <c r="G16" s="63"/>
      <c r="H16" s="63"/>
      <c r="I16" s="52">
        <f>F16+792</f>
        <v>4752</v>
      </c>
      <c r="J16" s="70">
        <f>I16+792</f>
        <v>5544</v>
      </c>
      <c r="K16" s="70">
        <f t="shared" ref="K16:M16" si="6">J16+792</f>
        <v>6336</v>
      </c>
      <c r="L16" s="70">
        <f t="shared" si="6"/>
        <v>7128</v>
      </c>
      <c r="M16" s="70">
        <f t="shared" si="6"/>
        <v>7920</v>
      </c>
      <c r="N16" s="85"/>
      <c r="O16" s="63"/>
      <c r="P16" s="52">
        <f>M16+792</f>
        <v>8712</v>
      </c>
      <c r="Q16" s="70">
        <f>P16+792</f>
        <v>9504</v>
      </c>
      <c r="R16" s="70">
        <f t="shared" ref="R16:T16" si="7">Q16+792</f>
        <v>10296</v>
      </c>
      <c r="S16" s="70">
        <f t="shared" si="7"/>
        <v>11088</v>
      </c>
      <c r="T16" s="70">
        <f t="shared" si="7"/>
        <v>11880</v>
      </c>
      <c r="U16" s="85"/>
      <c r="V16" s="63"/>
      <c r="W16" s="52">
        <f>T16+792</f>
        <v>12672</v>
      </c>
      <c r="X16" s="70">
        <f>W16+792</f>
        <v>13464</v>
      </c>
      <c r="Y16" s="70">
        <f t="shared" ref="Y16:AA16" si="8">X16+792</f>
        <v>14256</v>
      </c>
      <c r="Z16" s="70">
        <f t="shared" si="8"/>
        <v>15048</v>
      </c>
      <c r="AA16" s="70">
        <f t="shared" si="8"/>
        <v>15840</v>
      </c>
      <c r="AB16" s="85"/>
      <c r="AC16" s="63"/>
      <c r="AD16" s="52">
        <f>AA16+792</f>
        <v>16632</v>
      </c>
      <c r="AE16" s="83">
        <f>AD16+792</f>
        <v>17424</v>
      </c>
      <c r="AF16" s="83">
        <f>AE16+792</f>
        <v>18216</v>
      </c>
      <c r="AG16" s="32"/>
    </row>
    <row r="17" spans="1:33" x14ac:dyDescent="0.25">
      <c r="A17" s="19" t="s">
        <v>2</v>
      </c>
      <c r="B17" s="4">
        <f>B15/B16</f>
        <v>0</v>
      </c>
      <c r="C17" s="4">
        <f t="shared" ref="C17:AF17" si="9">C15/C16</f>
        <v>0</v>
      </c>
      <c r="D17" s="4">
        <f t="shared" si="9"/>
        <v>0</v>
      </c>
      <c r="E17" s="4">
        <f t="shared" si="9"/>
        <v>0</v>
      </c>
      <c r="F17" s="4">
        <f t="shared" si="9"/>
        <v>0</v>
      </c>
      <c r="G17" s="15"/>
      <c r="H17" s="15"/>
      <c r="I17" s="4">
        <f t="shared" si="9"/>
        <v>0</v>
      </c>
      <c r="J17" s="4">
        <f t="shared" si="9"/>
        <v>0</v>
      </c>
      <c r="K17" s="4">
        <f t="shared" si="9"/>
        <v>0</v>
      </c>
      <c r="L17" s="4">
        <f t="shared" si="9"/>
        <v>0</v>
      </c>
      <c r="M17" s="4">
        <f t="shared" si="9"/>
        <v>0</v>
      </c>
      <c r="N17" s="15"/>
      <c r="O17" s="15"/>
      <c r="P17" s="4">
        <f t="shared" si="9"/>
        <v>0</v>
      </c>
      <c r="Q17" s="4">
        <f t="shared" si="9"/>
        <v>0</v>
      </c>
      <c r="R17" s="4">
        <f t="shared" si="9"/>
        <v>0</v>
      </c>
      <c r="S17" s="4">
        <f t="shared" si="9"/>
        <v>0</v>
      </c>
      <c r="T17" s="4">
        <f t="shared" si="9"/>
        <v>0</v>
      </c>
      <c r="U17" s="15"/>
      <c r="V17" s="15"/>
      <c r="W17" s="4">
        <f t="shared" si="9"/>
        <v>0</v>
      </c>
      <c r="X17" s="4">
        <f t="shared" si="9"/>
        <v>0</v>
      </c>
      <c r="Y17" s="4">
        <f t="shared" si="9"/>
        <v>0</v>
      </c>
      <c r="Z17" s="4">
        <f t="shared" si="9"/>
        <v>0</v>
      </c>
      <c r="AA17" s="4">
        <f t="shared" si="9"/>
        <v>0</v>
      </c>
      <c r="AB17" s="15"/>
      <c r="AC17" s="15"/>
      <c r="AD17" s="4">
        <f t="shared" si="9"/>
        <v>0</v>
      </c>
      <c r="AE17" s="4">
        <f t="shared" si="9"/>
        <v>0</v>
      </c>
      <c r="AF17" s="4">
        <f t="shared" si="9"/>
        <v>0</v>
      </c>
      <c r="AG17" s="32"/>
    </row>
    <row r="18" spans="1:33" ht="15.75" thickBot="1" x14ac:dyDescent="0.3">
      <c r="A18" s="20"/>
      <c r="B18" s="7"/>
      <c r="C18" s="7"/>
      <c r="D18" s="7"/>
      <c r="E18" s="26"/>
      <c r="F18" s="26"/>
      <c r="G18" s="16"/>
      <c r="H18" s="16"/>
      <c r="I18" s="7"/>
      <c r="J18" s="72"/>
      <c r="K18" s="73"/>
      <c r="L18" s="7"/>
      <c r="M18" s="7"/>
      <c r="N18" s="16"/>
      <c r="O18" s="16"/>
      <c r="P18" s="7"/>
      <c r="Q18" s="72"/>
      <c r="R18" s="73"/>
      <c r="S18" s="7"/>
      <c r="T18" s="7"/>
      <c r="U18" s="16"/>
      <c r="V18" s="16"/>
      <c r="W18" s="7"/>
      <c r="X18" s="72"/>
      <c r="Y18" s="73"/>
      <c r="Z18" s="7"/>
      <c r="AA18" s="82"/>
      <c r="AB18" s="87"/>
      <c r="AC18" s="16"/>
      <c r="AD18" s="7"/>
      <c r="AE18" s="72"/>
      <c r="AF18" s="73"/>
      <c r="AG18" s="32"/>
    </row>
    <row r="19" spans="1:33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  <c r="AG19" s="32"/>
    </row>
    <row r="20" spans="1:33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  <c r="AG20" s="32"/>
    </row>
    <row r="21" spans="1:33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</row>
    <row r="22" spans="1:33" x14ac:dyDescent="0.25">
      <c r="A22" s="19" t="s">
        <v>8</v>
      </c>
      <c r="B22" s="56"/>
      <c r="C22" s="56"/>
      <c r="D22" s="56"/>
      <c r="E22" s="56"/>
      <c r="F22" s="56"/>
      <c r="G22" s="60"/>
      <c r="H22" s="60"/>
      <c r="I22" s="56"/>
      <c r="J22" s="68"/>
      <c r="K22" s="69"/>
      <c r="L22" s="56"/>
      <c r="M22" s="56"/>
      <c r="N22" s="60"/>
      <c r="O22" s="60"/>
      <c r="P22" s="56"/>
      <c r="Q22" s="68"/>
      <c r="R22" s="69"/>
      <c r="S22" s="56"/>
      <c r="T22" s="56"/>
      <c r="U22" s="60"/>
      <c r="V22" s="60"/>
      <c r="W22" s="56"/>
      <c r="X22" s="68"/>
      <c r="Y22" s="69"/>
      <c r="Z22" s="56"/>
      <c r="AA22" s="80"/>
      <c r="AB22" s="86"/>
      <c r="AC22" s="60"/>
      <c r="AD22" s="56"/>
      <c r="AE22" s="68"/>
      <c r="AF22" s="69"/>
      <c r="AG22" s="32"/>
    </row>
    <row r="23" spans="1:33" x14ac:dyDescent="0.25">
      <c r="A23" s="19" t="s">
        <v>1</v>
      </c>
      <c r="B23" s="52">
        <v>2877</v>
      </c>
      <c r="C23" s="52">
        <f>B23+2877</f>
        <v>5754</v>
      </c>
      <c r="D23" s="52">
        <f t="shared" ref="D23:F23" si="10">C23+2877</f>
        <v>8631</v>
      </c>
      <c r="E23" s="52">
        <f t="shared" si="10"/>
        <v>11508</v>
      </c>
      <c r="F23" s="52">
        <f t="shared" si="10"/>
        <v>14385</v>
      </c>
      <c r="G23" s="63"/>
      <c r="H23" s="63"/>
      <c r="I23" s="52">
        <f>F23+2877</f>
        <v>17262</v>
      </c>
      <c r="J23" s="70">
        <f>I23+2877</f>
        <v>20139</v>
      </c>
      <c r="K23" s="70">
        <f t="shared" ref="K23:M23" si="11">J23+2877</f>
        <v>23016</v>
      </c>
      <c r="L23" s="70">
        <f t="shared" si="11"/>
        <v>25893</v>
      </c>
      <c r="M23" s="70">
        <f t="shared" si="11"/>
        <v>28770</v>
      </c>
      <c r="N23" s="85"/>
      <c r="O23" s="63"/>
      <c r="P23" s="52">
        <f>M23+2877</f>
        <v>31647</v>
      </c>
      <c r="Q23" s="70">
        <f>P23+2877</f>
        <v>34524</v>
      </c>
      <c r="R23" s="70">
        <f t="shared" ref="R23:T23" si="12">Q23+2877</f>
        <v>37401</v>
      </c>
      <c r="S23" s="70">
        <f t="shared" si="12"/>
        <v>40278</v>
      </c>
      <c r="T23" s="70">
        <f t="shared" si="12"/>
        <v>43155</v>
      </c>
      <c r="U23" s="85"/>
      <c r="V23" s="63"/>
      <c r="W23" s="52">
        <f>T23+2877</f>
        <v>46032</v>
      </c>
      <c r="X23" s="70">
        <f>W23+2877</f>
        <v>48909</v>
      </c>
      <c r="Y23" s="70">
        <f t="shared" ref="Y23:AA23" si="13">X23+2877</f>
        <v>51786</v>
      </c>
      <c r="Z23" s="70">
        <f t="shared" si="13"/>
        <v>54663</v>
      </c>
      <c r="AA23" s="70">
        <f t="shared" si="13"/>
        <v>57540</v>
      </c>
      <c r="AB23" s="85"/>
      <c r="AC23" s="63"/>
      <c r="AD23" s="52">
        <f>AA23+2877</f>
        <v>60417</v>
      </c>
      <c r="AE23" s="83">
        <f>AD23+2877</f>
        <v>63294</v>
      </c>
      <c r="AF23" s="83">
        <f>AE23+2877</f>
        <v>66171</v>
      </c>
      <c r="AG23" s="32"/>
    </row>
    <row r="24" spans="1:33" x14ac:dyDescent="0.25">
      <c r="A24" s="19" t="s">
        <v>2</v>
      </c>
      <c r="B24" s="4">
        <f>B22/B23</f>
        <v>0</v>
      </c>
      <c r="C24" s="4">
        <f t="shared" ref="C24:AF24" si="14">C22/C23</f>
        <v>0</v>
      </c>
      <c r="D24" s="4">
        <f t="shared" si="14"/>
        <v>0</v>
      </c>
      <c r="E24" s="4">
        <f t="shared" si="14"/>
        <v>0</v>
      </c>
      <c r="F24" s="4">
        <f t="shared" si="14"/>
        <v>0</v>
      </c>
      <c r="G24" s="15"/>
      <c r="H24" s="15"/>
      <c r="I24" s="4">
        <f t="shared" si="14"/>
        <v>0</v>
      </c>
      <c r="J24" s="4">
        <f t="shared" si="14"/>
        <v>0</v>
      </c>
      <c r="K24" s="4">
        <f t="shared" si="14"/>
        <v>0</v>
      </c>
      <c r="L24" s="4">
        <f t="shared" si="14"/>
        <v>0</v>
      </c>
      <c r="M24" s="4">
        <f t="shared" si="14"/>
        <v>0</v>
      </c>
      <c r="N24" s="15"/>
      <c r="O24" s="15"/>
      <c r="P24" s="4">
        <f t="shared" si="14"/>
        <v>0</v>
      </c>
      <c r="Q24" s="4">
        <f t="shared" si="14"/>
        <v>0</v>
      </c>
      <c r="R24" s="4">
        <f t="shared" si="14"/>
        <v>0</v>
      </c>
      <c r="S24" s="4">
        <f t="shared" si="14"/>
        <v>0</v>
      </c>
      <c r="T24" s="4">
        <f t="shared" si="14"/>
        <v>0</v>
      </c>
      <c r="U24" s="15"/>
      <c r="V24" s="15"/>
      <c r="W24" s="4">
        <f t="shared" si="14"/>
        <v>0</v>
      </c>
      <c r="X24" s="4">
        <f t="shared" si="14"/>
        <v>0</v>
      </c>
      <c r="Y24" s="4">
        <f t="shared" si="14"/>
        <v>0</v>
      </c>
      <c r="Z24" s="4">
        <f t="shared" si="14"/>
        <v>0</v>
      </c>
      <c r="AA24" s="4">
        <f t="shared" si="14"/>
        <v>0</v>
      </c>
      <c r="AB24" s="15"/>
      <c r="AC24" s="15"/>
      <c r="AD24" s="4">
        <f t="shared" si="14"/>
        <v>0</v>
      </c>
      <c r="AE24" s="4">
        <f t="shared" si="14"/>
        <v>0</v>
      </c>
      <c r="AF24" s="4">
        <f t="shared" si="14"/>
        <v>0</v>
      </c>
      <c r="AG24" s="32"/>
    </row>
    <row r="25" spans="1:33" ht="15.75" thickBot="1" x14ac:dyDescent="0.3">
      <c r="A25" s="20"/>
      <c r="B25" s="7"/>
      <c r="C25" s="7"/>
      <c r="D25" s="7"/>
      <c r="E25" s="26"/>
      <c r="F25" s="26"/>
      <c r="G25" s="16"/>
      <c r="H25" s="16"/>
      <c r="I25" s="7"/>
      <c r="J25" s="72"/>
      <c r="K25" s="73"/>
      <c r="L25" s="7"/>
      <c r="M25" s="7"/>
      <c r="N25" s="16"/>
      <c r="O25" s="16"/>
      <c r="P25" s="7"/>
      <c r="Q25" s="72"/>
      <c r="R25" s="73"/>
      <c r="S25" s="7"/>
      <c r="T25" s="7"/>
      <c r="U25" s="16"/>
      <c r="V25" s="16"/>
      <c r="W25" s="7"/>
      <c r="X25" s="72"/>
      <c r="Y25" s="73"/>
      <c r="Z25" s="7"/>
      <c r="AA25" s="82"/>
      <c r="AB25" s="87"/>
      <c r="AC25" s="16"/>
      <c r="AD25" s="7"/>
      <c r="AE25" s="72"/>
      <c r="AF25" s="73"/>
      <c r="AG25" s="32"/>
    </row>
    <row r="26" spans="1:33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  <c r="AG26" s="32"/>
    </row>
    <row r="27" spans="1:33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  <c r="AG27" s="32"/>
    </row>
    <row r="28" spans="1:33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3" x14ac:dyDescent="0.25">
      <c r="A29" s="19" t="s">
        <v>8</v>
      </c>
      <c r="B29" s="56"/>
      <c r="C29" s="56"/>
      <c r="D29" s="56"/>
      <c r="E29" s="56"/>
      <c r="F29" s="56"/>
      <c r="G29" s="60"/>
      <c r="H29" s="60"/>
      <c r="I29" s="56"/>
      <c r="J29" s="68"/>
      <c r="K29" s="69"/>
      <c r="L29" s="56"/>
      <c r="M29" s="56"/>
      <c r="N29" s="60"/>
      <c r="O29" s="60"/>
      <c r="P29" s="56"/>
      <c r="Q29" s="68"/>
      <c r="R29" s="69"/>
      <c r="S29" s="56"/>
      <c r="T29" s="56"/>
      <c r="U29" s="60"/>
      <c r="V29" s="60"/>
      <c r="W29" s="56"/>
      <c r="X29" s="68"/>
      <c r="Y29" s="69"/>
      <c r="Z29" s="56"/>
      <c r="AA29" s="80"/>
      <c r="AB29" s="86"/>
      <c r="AC29" s="60"/>
      <c r="AD29" s="56"/>
      <c r="AE29" s="68"/>
      <c r="AF29" s="69"/>
      <c r="AG29" s="32"/>
    </row>
    <row r="30" spans="1:33" x14ac:dyDescent="0.25">
      <c r="A30" s="19" t="s">
        <v>1</v>
      </c>
      <c r="B30" s="52">
        <v>1770</v>
      </c>
      <c r="C30" s="52">
        <f>B30+1770</f>
        <v>3540</v>
      </c>
      <c r="D30" s="52">
        <f t="shared" ref="D30:F30" si="15">C30+1770</f>
        <v>5310</v>
      </c>
      <c r="E30" s="52">
        <f t="shared" si="15"/>
        <v>7080</v>
      </c>
      <c r="F30" s="52">
        <f t="shared" si="15"/>
        <v>8850</v>
      </c>
      <c r="G30" s="63"/>
      <c r="H30" s="63"/>
      <c r="I30" s="52">
        <f>F30+1770</f>
        <v>10620</v>
      </c>
      <c r="J30" s="70">
        <f>I30+1770</f>
        <v>12390</v>
      </c>
      <c r="K30" s="70">
        <f t="shared" ref="K30:M30" si="16">J30+1770</f>
        <v>14160</v>
      </c>
      <c r="L30" s="70">
        <f t="shared" si="16"/>
        <v>15930</v>
      </c>
      <c r="M30" s="70">
        <f t="shared" si="16"/>
        <v>17700</v>
      </c>
      <c r="N30" s="85"/>
      <c r="O30" s="63"/>
      <c r="P30" s="52">
        <f>M30+1770</f>
        <v>19470</v>
      </c>
      <c r="Q30" s="70">
        <f>P30+1770</f>
        <v>21240</v>
      </c>
      <c r="R30" s="70">
        <f t="shared" ref="R30:T30" si="17">Q30+1770</f>
        <v>23010</v>
      </c>
      <c r="S30" s="70">
        <f t="shared" si="17"/>
        <v>24780</v>
      </c>
      <c r="T30" s="70">
        <f t="shared" si="17"/>
        <v>26550</v>
      </c>
      <c r="U30" s="85"/>
      <c r="V30" s="63"/>
      <c r="W30" s="52">
        <f>T30+1770</f>
        <v>28320</v>
      </c>
      <c r="X30" s="70">
        <f>W30+1770</f>
        <v>30090</v>
      </c>
      <c r="Y30" s="70">
        <f t="shared" ref="Y30:AA30" si="18">X30+1770</f>
        <v>31860</v>
      </c>
      <c r="Z30" s="70">
        <f t="shared" si="18"/>
        <v>33630</v>
      </c>
      <c r="AA30" s="70">
        <f t="shared" si="18"/>
        <v>35400</v>
      </c>
      <c r="AB30" s="85"/>
      <c r="AC30" s="63"/>
      <c r="AD30" s="52">
        <f>AA30+1770</f>
        <v>37170</v>
      </c>
      <c r="AE30" s="83">
        <f>AD30+1770</f>
        <v>38940</v>
      </c>
      <c r="AF30" s="83">
        <f>AE30+1770</f>
        <v>40710</v>
      </c>
      <c r="AG30" s="32"/>
    </row>
    <row r="31" spans="1:33" x14ac:dyDescent="0.25">
      <c r="A31" s="19" t="s">
        <v>2</v>
      </c>
      <c r="B31" s="4">
        <f>B29/B30</f>
        <v>0</v>
      </c>
      <c r="C31" s="4">
        <f t="shared" ref="C31:AF31" si="19">C29/C30</f>
        <v>0</v>
      </c>
      <c r="D31" s="4">
        <f t="shared" si="19"/>
        <v>0</v>
      </c>
      <c r="E31" s="4">
        <f t="shared" si="19"/>
        <v>0</v>
      </c>
      <c r="F31" s="4">
        <f t="shared" si="19"/>
        <v>0</v>
      </c>
      <c r="G31" s="15"/>
      <c r="H31" s="15"/>
      <c r="I31" s="4">
        <f t="shared" si="19"/>
        <v>0</v>
      </c>
      <c r="J31" s="4">
        <f t="shared" si="19"/>
        <v>0</v>
      </c>
      <c r="K31" s="4">
        <f t="shared" si="19"/>
        <v>0</v>
      </c>
      <c r="L31" s="4">
        <f t="shared" si="19"/>
        <v>0</v>
      </c>
      <c r="M31" s="4">
        <f t="shared" si="19"/>
        <v>0</v>
      </c>
      <c r="N31" s="15"/>
      <c r="O31" s="15"/>
      <c r="P31" s="4">
        <f t="shared" si="19"/>
        <v>0</v>
      </c>
      <c r="Q31" s="4">
        <f t="shared" si="19"/>
        <v>0</v>
      </c>
      <c r="R31" s="4">
        <f t="shared" si="19"/>
        <v>0</v>
      </c>
      <c r="S31" s="4">
        <f t="shared" si="19"/>
        <v>0</v>
      </c>
      <c r="T31" s="4">
        <f t="shared" si="19"/>
        <v>0</v>
      </c>
      <c r="U31" s="15"/>
      <c r="V31" s="15"/>
      <c r="W31" s="4">
        <f t="shared" si="19"/>
        <v>0</v>
      </c>
      <c r="X31" s="4">
        <f t="shared" si="19"/>
        <v>0</v>
      </c>
      <c r="Y31" s="4">
        <f t="shared" si="19"/>
        <v>0</v>
      </c>
      <c r="Z31" s="4">
        <f t="shared" si="19"/>
        <v>0</v>
      </c>
      <c r="AA31" s="4">
        <f t="shared" si="19"/>
        <v>0</v>
      </c>
      <c r="AB31" s="15"/>
      <c r="AC31" s="15"/>
      <c r="AD31" s="4">
        <f t="shared" si="19"/>
        <v>0</v>
      </c>
      <c r="AE31" s="4">
        <f t="shared" si="19"/>
        <v>0</v>
      </c>
      <c r="AF31" s="4">
        <f t="shared" si="19"/>
        <v>0</v>
      </c>
      <c r="AG31" s="32"/>
    </row>
    <row r="32" spans="1:33" ht="15.75" thickBot="1" x14ac:dyDescent="0.3">
      <c r="A32" s="20"/>
      <c r="B32" s="7"/>
      <c r="C32" s="7"/>
      <c r="D32" s="7"/>
      <c r="E32" s="26"/>
      <c r="F32" s="26"/>
      <c r="G32" s="16"/>
      <c r="H32" s="16"/>
      <c r="I32" s="7"/>
      <c r="J32" s="72"/>
      <c r="K32" s="73"/>
      <c r="L32" s="7"/>
      <c r="M32" s="7"/>
      <c r="N32" s="16"/>
      <c r="O32" s="16"/>
      <c r="P32" s="7"/>
      <c r="Q32" s="72"/>
      <c r="R32" s="73"/>
      <c r="S32" s="7"/>
      <c r="T32" s="7"/>
      <c r="U32" s="16"/>
      <c r="V32" s="16"/>
      <c r="W32" s="7"/>
      <c r="X32" s="72"/>
      <c r="Y32" s="73"/>
      <c r="Z32" s="7"/>
      <c r="AA32" s="82"/>
      <c r="AB32" s="87"/>
      <c r="AC32" s="16"/>
      <c r="AD32" s="7"/>
      <c r="AE32" s="72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56"/>
      <c r="C36" s="56"/>
      <c r="D36" s="56"/>
      <c r="E36" s="56"/>
      <c r="F36" s="56"/>
      <c r="G36" s="60"/>
      <c r="H36" s="60"/>
      <c r="I36" s="56"/>
      <c r="J36" s="68"/>
      <c r="K36" s="69"/>
      <c r="L36" s="56"/>
      <c r="M36" s="56"/>
      <c r="N36" s="60"/>
      <c r="O36" s="60"/>
      <c r="P36" s="56"/>
      <c r="Q36" s="68"/>
      <c r="R36" s="69"/>
      <c r="S36" s="56"/>
      <c r="T36" s="56"/>
      <c r="U36" s="60"/>
      <c r="V36" s="60"/>
      <c r="W36" s="56"/>
      <c r="X36" s="68"/>
      <c r="Y36" s="69"/>
      <c r="Z36" s="56"/>
      <c r="AA36" s="80"/>
      <c r="AB36" s="86"/>
      <c r="AC36" s="60"/>
      <c r="AD36" s="56"/>
      <c r="AE36" s="68"/>
      <c r="AF36" s="69"/>
      <c r="AG36" s="32"/>
    </row>
    <row r="37" spans="1:33" x14ac:dyDescent="0.25">
      <c r="A37" s="19" t="s">
        <v>1</v>
      </c>
      <c r="B37" s="52">
        <v>3262</v>
      </c>
      <c r="C37" s="52">
        <f>B37+3262</f>
        <v>6524</v>
      </c>
      <c r="D37" s="52">
        <f t="shared" ref="D37:F37" si="20">C37+3262</f>
        <v>9786</v>
      </c>
      <c r="E37" s="52">
        <f t="shared" si="20"/>
        <v>13048</v>
      </c>
      <c r="F37" s="52">
        <f t="shared" si="20"/>
        <v>16310</v>
      </c>
      <c r="G37" s="63"/>
      <c r="H37" s="63"/>
      <c r="I37" s="52">
        <f>F37+3262</f>
        <v>19572</v>
      </c>
      <c r="J37" s="70">
        <f>I37+3262</f>
        <v>22834</v>
      </c>
      <c r="K37" s="70">
        <f t="shared" ref="K37:M37" si="21">J37+3262</f>
        <v>26096</v>
      </c>
      <c r="L37" s="70">
        <f t="shared" si="21"/>
        <v>29358</v>
      </c>
      <c r="M37" s="70">
        <f t="shared" si="21"/>
        <v>32620</v>
      </c>
      <c r="N37" s="85"/>
      <c r="O37" s="63"/>
      <c r="P37" s="52">
        <f>M37+3262</f>
        <v>35882</v>
      </c>
      <c r="Q37" s="70">
        <f>P37+3262</f>
        <v>39144</v>
      </c>
      <c r="R37" s="70">
        <f t="shared" ref="R37:T37" si="22">Q37+3262</f>
        <v>42406</v>
      </c>
      <c r="S37" s="70">
        <f t="shared" si="22"/>
        <v>45668</v>
      </c>
      <c r="T37" s="70">
        <f t="shared" si="22"/>
        <v>48930</v>
      </c>
      <c r="U37" s="85"/>
      <c r="V37" s="63"/>
      <c r="W37" s="52">
        <f>T37+3262</f>
        <v>52192</v>
      </c>
      <c r="X37" s="70">
        <f>W37+3262</f>
        <v>55454</v>
      </c>
      <c r="Y37" s="70">
        <f t="shared" ref="Y37:AA37" si="23">X37+3262</f>
        <v>58716</v>
      </c>
      <c r="Z37" s="70">
        <f t="shared" si="23"/>
        <v>61978</v>
      </c>
      <c r="AA37" s="70">
        <f t="shared" si="23"/>
        <v>65240</v>
      </c>
      <c r="AB37" s="85"/>
      <c r="AC37" s="63"/>
      <c r="AD37" s="52">
        <f>AA37+3262</f>
        <v>68502</v>
      </c>
      <c r="AE37" s="83">
        <f>AD37+3262</f>
        <v>71764</v>
      </c>
      <c r="AF37" s="83">
        <f>AE37+3262</f>
        <v>75026</v>
      </c>
      <c r="AG37" s="32"/>
    </row>
    <row r="38" spans="1:33" x14ac:dyDescent="0.25">
      <c r="A38" s="19" t="s">
        <v>2</v>
      </c>
      <c r="B38" s="4">
        <f>B36/B37</f>
        <v>0</v>
      </c>
      <c r="C38" s="4">
        <f t="shared" ref="C38:AF38" si="24">C36/C37</f>
        <v>0</v>
      </c>
      <c r="D38" s="4">
        <f t="shared" si="24"/>
        <v>0</v>
      </c>
      <c r="E38" s="4">
        <f t="shared" si="24"/>
        <v>0</v>
      </c>
      <c r="F38" s="4">
        <f t="shared" si="24"/>
        <v>0</v>
      </c>
      <c r="G38" s="15"/>
      <c r="H38" s="15"/>
      <c r="I38" s="4">
        <f t="shared" si="24"/>
        <v>0</v>
      </c>
      <c r="J38" s="4">
        <f t="shared" si="24"/>
        <v>0</v>
      </c>
      <c r="K38" s="4">
        <f t="shared" si="24"/>
        <v>0</v>
      </c>
      <c r="L38" s="4">
        <f t="shared" si="24"/>
        <v>0</v>
      </c>
      <c r="M38" s="4">
        <f t="shared" si="24"/>
        <v>0</v>
      </c>
      <c r="N38" s="15"/>
      <c r="O38" s="15"/>
      <c r="P38" s="4">
        <f t="shared" si="24"/>
        <v>0</v>
      </c>
      <c r="Q38" s="4">
        <f t="shared" si="24"/>
        <v>0</v>
      </c>
      <c r="R38" s="4">
        <f t="shared" si="24"/>
        <v>0</v>
      </c>
      <c r="S38" s="4">
        <f t="shared" si="24"/>
        <v>0</v>
      </c>
      <c r="T38" s="4">
        <f t="shared" si="24"/>
        <v>0</v>
      </c>
      <c r="U38" s="15"/>
      <c r="V38" s="15"/>
      <c r="W38" s="4">
        <f t="shared" si="24"/>
        <v>0</v>
      </c>
      <c r="X38" s="4">
        <f t="shared" si="24"/>
        <v>0</v>
      </c>
      <c r="Y38" s="4">
        <f t="shared" si="24"/>
        <v>0</v>
      </c>
      <c r="Z38" s="4">
        <f t="shared" si="24"/>
        <v>0</v>
      </c>
      <c r="AA38" s="4">
        <f t="shared" si="24"/>
        <v>0</v>
      </c>
      <c r="AB38" s="15"/>
      <c r="AC38" s="15"/>
      <c r="AD38" s="4">
        <f t="shared" si="24"/>
        <v>0</v>
      </c>
      <c r="AE38" s="4">
        <f t="shared" si="24"/>
        <v>0</v>
      </c>
      <c r="AF38" s="4">
        <f t="shared" si="24"/>
        <v>0</v>
      </c>
      <c r="AG38" s="32"/>
    </row>
    <row r="39" spans="1:33" ht="15.75" thickBot="1" x14ac:dyDescent="0.3">
      <c r="A39" s="20"/>
      <c r="B39" s="7"/>
      <c r="C39" s="7"/>
      <c r="D39" s="7"/>
      <c r="E39" s="26"/>
      <c r="F39" s="26"/>
      <c r="G39" s="16"/>
      <c r="H39" s="16"/>
      <c r="I39" s="7"/>
      <c r="J39" s="72"/>
      <c r="K39" s="73"/>
      <c r="L39" s="7"/>
      <c r="M39" s="7"/>
      <c r="N39" s="16"/>
      <c r="O39" s="16"/>
      <c r="P39" s="7"/>
      <c r="Q39" s="72"/>
      <c r="R39" s="73"/>
      <c r="S39" s="7"/>
      <c r="T39" s="7"/>
      <c r="U39" s="16"/>
      <c r="V39" s="16"/>
      <c r="W39" s="7"/>
      <c r="X39" s="72"/>
      <c r="Y39" s="73"/>
      <c r="Z39" s="7"/>
      <c r="AA39" s="82"/>
      <c r="AB39" s="87"/>
      <c r="AC39" s="16"/>
      <c r="AD39" s="7"/>
      <c r="AE39" s="72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56"/>
      <c r="C43" s="56"/>
      <c r="D43" s="56"/>
      <c r="E43" s="56"/>
      <c r="F43" s="56"/>
      <c r="G43" s="60"/>
      <c r="H43" s="60"/>
      <c r="I43" s="56"/>
      <c r="J43" s="68"/>
      <c r="K43" s="69"/>
      <c r="L43" s="56"/>
      <c r="M43" s="56"/>
      <c r="N43" s="60"/>
      <c r="O43" s="60"/>
      <c r="P43" s="56"/>
      <c r="Q43" s="68"/>
      <c r="R43" s="69"/>
      <c r="S43" s="56"/>
      <c r="T43" s="56"/>
      <c r="U43" s="60"/>
      <c r="V43" s="60"/>
      <c r="W43" s="56"/>
      <c r="X43" s="68"/>
      <c r="Y43" s="69"/>
      <c r="Z43" s="56"/>
      <c r="AA43" s="80"/>
      <c r="AB43" s="86"/>
      <c r="AC43" s="60"/>
      <c r="AD43" s="56"/>
      <c r="AE43" s="68"/>
      <c r="AF43" s="69"/>
      <c r="AG43" s="32"/>
    </row>
    <row r="44" spans="1:33" x14ac:dyDescent="0.25">
      <c r="A44" s="19" t="s">
        <v>1</v>
      </c>
      <c r="B44" s="52">
        <v>731</v>
      </c>
      <c r="C44" s="52">
        <f>B44+731</f>
        <v>1462</v>
      </c>
      <c r="D44" s="52">
        <f t="shared" ref="D44:F44" si="25">C44+731</f>
        <v>2193</v>
      </c>
      <c r="E44" s="52">
        <f t="shared" si="25"/>
        <v>2924</v>
      </c>
      <c r="F44" s="52">
        <f t="shared" si="25"/>
        <v>3655</v>
      </c>
      <c r="G44" s="63"/>
      <c r="H44" s="63"/>
      <c r="I44" s="52">
        <f>F44+731</f>
        <v>4386</v>
      </c>
      <c r="J44" s="70">
        <f>I44+731</f>
        <v>5117</v>
      </c>
      <c r="K44" s="70">
        <f t="shared" ref="K44:M44" si="26">J44+731</f>
        <v>5848</v>
      </c>
      <c r="L44" s="70">
        <f t="shared" si="26"/>
        <v>6579</v>
      </c>
      <c r="M44" s="70">
        <f t="shared" si="26"/>
        <v>7310</v>
      </c>
      <c r="N44" s="85"/>
      <c r="O44" s="63"/>
      <c r="P44" s="52">
        <f>M44+731</f>
        <v>8041</v>
      </c>
      <c r="Q44" s="70">
        <f>P44+731</f>
        <v>8772</v>
      </c>
      <c r="R44" s="70">
        <f t="shared" ref="R44:T44" si="27">Q44+731</f>
        <v>9503</v>
      </c>
      <c r="S44" s="70">
        <f t="shared" si="27"/>
        <v>10234</v>
      </c>
      <c r="T44" s="70">
        <f t="shared" si="27"/>
        <v>10965</v>
      </c>
      <c r="U44" s="85"/>
      <c r="V44" s="63"/>
      <c r="W44" s="52">
        <f>T44+731</f>
        <v>11696</v>
      </c>
      <c r="X44" s="70">
        <f>W44+731</f>
        <v>12427</v>
      </c>
      <c r="Y44" s="70">
        <f t="shared" ref="Y44:AA44" si="28">X44+731</f>
        <v>13158</v>
      </c>
      <c r="Z44" s="70">
        <f t="shared" si="28"/>
        <v>13889</v>
      </c>
      <c r="AA44" s="70">
        <f t="shared" si="28"/>
        <v>14620</v>
      </c>
      <c r="AB44" s="85"/>
      <c r="AC44" s="63"/>
      <c r="AD44" s="52">
        <f>AA44+731</f>
        <v>15351</v>
      </c>
      <c r="AE44" s="83">
        <f>AD44+731</f>
        <v>16082</v>
      </c>
      <c r="AF44" s="83">
        <f>AE44+731</f>
        <v>16813</v>
      </c>
      <c r="AG44" s="32"/>
    </row>
    <row r="45" spans="1:33" x14ac:dyDescent="0.25">
      <c r="A45" s="19" t="s">
        <v>2</v>
      </c>
      <c r="B45" s="4">
        <f>B43/B44</f>
        <v>0</v>
      </c>
      <c r="C45" s="4">
        <f t="shared" ref="C45:AF45" si="29">C43/C44</f>
        <v>0</v>
      </c>
      <c r="D45" s="4">
        <f t="shared" si="29"/>
        <v>0</v>
      </c>
      <c r="E45" s="4">
        <f t="shared" si="29"/>
        <v>0</v>
      </c>
      <c r="F45" s="4">
        <f t="shared" si="29"/>
        <v>0</v>
      </c>
      <c r="G45" s="15"/>
      <c r="H45" s="15"/>
      <c r="I45" s="4">
        <f t="shared" si="29"/>
        <v>0</v>
      </c>
      <c r="J45" s="4">
        <f t="shared" si="29"/>
        <v>0</v>
      </c>
      <c r="K45" s="4">
        <f t="shared" si="29"/>
        <v>0</v>
      </c>
      <c r="L45" s="4">
        <f t="shared" si="29"/>
        <v>0</v>
      </c>
      <c r="M45" s="4">
        <f t="shared" si="29"/>
        <v>0</v>
      </c>
      <c r="N45" s="15"/>
      <c r="O45" s="15"/>
      <c r="P45" s="4">
        <f t="shared" si="29"/>
        <v>0</v>
      </c>
      <c r="Q45" s="4">
        <f t="shared" si="29"/>
        <v>0</v>
      </c>
      <c r="R45" s="4">
        <f t="shared" si="29"/>
        <v>0</v>
      </c>
      <c r="S45" s="4">
        <f t="shared" si="29"/>
        <v>0</v>
      </c>
      <c r="T45" s="4">
        <f t="shared" si="29"/>
        <v>0</v>
      </c>
      <c r="U45" s="15"/>
      <c r="V45" s="15"/>
      <c r="W45" s="4">
        <f t="shared" si="29"/>
        <v>0</v>
      </c>
      <c r="X45" s="4">
        <f t="shared" si="29"/>
        <v>0</v>
      </c>
      <c r="Y45" s="4">
        <f t="shared" si="29"/>
        <v>0</v>
      </c>
      <c r="Z45" s="4">
        <f t="shared" si="29"/>
        <v>0</v>
      </c>
      <c r="AA45" s="4">
        <f t="shared" si="29"/>
        <v>0</v>
      </c>
      <c r="AB45" s="15"/>
      <c r="AC45" s="15"/>
      <c r="AD45" s="4">
        <f t="shared" si="29"/>
        <v>0</v>
      </c>
      <c r="AE45" s="4">
        <f t="shared" si="29"/>
        <v>0</v>
      </c>
      <c r="AF45" s="4">
        <f t="shared" si="29"/>
        <v>0</v>
      </c>
      <c r="AG45" s="32"/>
    </row>
    <row r="46" spans="1:33" ht="15.75" thickBot="1" x14ac:dyDescent="0.3">
      <c r="A46" s="20"/>
      <c r="B46" s="7"/>
      <c r="C46" s="7"/>
      <c r="D46" s="7"/>
      <c r="E46" s="26"/>
      <c r="F46" s="26"/>
      <c r="G46" s="16"/>
      <c r="H46" s="16"/>
      <c r="I46" s="7"/>
      <c r="J46" s="72"/>
      <c r="K46" s="73"/>
      <c r="L46" s="7"/>
      <c r="M46" s="7"/>
      <c r="N46" s="16"/>
      <c r="O46" s="16"/>
      <c r="P46" s="7"/>
      <c r="Q46" s="72"/>
      <c r="R46" s="73"/>
      <c r="S46" s="7"/>
      <c r="T46" s="7"/>
      <c r="U46" s="16"/>
      <c r="V46" s="16"/>
      <c r="W46" s="7"/>
      <c r="X46" s="72"/>
      <c r="Y46" s="73"/>
      <c r="Z46" s="7"/>
      <c r="AA46" s="82"/>
      <c r="AB46" s="87"/>
      <c r="AC46" s="16"/>
      <c r="AD46" s="7"/>
      <c r="AE46" s="72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56"/>
      <c r="C49" s="56"/>
      <c r="D49" s="56"/>
      <c r="E49" s="56"/>
      <c r="F49" s="56"/>
      <c r="G49" s="60"/>
      <c r="H49" s="60"/>
      <c r="I49" s="56"/>
      <c r="J49" s="68"/>
      <c r="K49" s="69"/>
      <c r="L49" s="56"/>
      <c r="M49" s="56"/>
      <c r="N49" s="60"/>
      <c r="O49" s="60"/>
      <c r="P49" s="56"/>
      <c r="Q49" s="68"/>
      <c r="R49" s="69"/>
      <c r="S49" s="56"/>
      <c r="T49" s="56"/>
      <c r="U49" s="60"/>
      <c r="V49" s="60"/>
      <c r="W49" s="56"/>
      <c r="X49" s="68"/>
      <c r="Y49" s="69"/>
      <c r="Z49" s="56"/>
      <c r="AA49" s="80"/>
      <c r="AB49" s="86"/>
      <c r="AC49" s="60"/>
      <c r="AD49" s="56"/>
      <c r="AE49" s="68"/>
      <c r="AF49" s="69"/>
      <c r="AG49" s="32"/>
    </row>
    <row r="50" spans="1:33" x14ac:dyDescent="0.25">
      <c r="A50" s="19" t="s">
        <v>1</v>
      </c>
      <c r="B50" s="52">
        <v>515</v>
      </c>
      <c r="C50" s="52">
        <f>B50+515</f>
        <v>1030</v>
      </c>
      <c r="D50" s="52">
        <f t="shared" ref="D50:F50" si="30">C50+515</f>
        <v>1545</v>
      </c>
      <c r="E50" s="52">
        <f t="shared" si="30"/>
        <v>2060</v>
      </c>
      <c r="F50" s="52">
        <f t="shared" si="30"/>
        <v>2575</v>
      </c>
      <c r="G50" s="63"/>
      <c r="H50" s="63"/>
      <c r="I50" s="52">
        <f>F50+515</f>
        <v>3090</v>
      </c>
      <c r="J50" s="70">
        <f>I50+515</f>
        <v>3605</v>
      </c>
      <c r="K50" s="70">
        <f t="shared" ref="K50:M50" si="31">J50+515</f>
        <v>4120</v>
      </c>
      <c r="L50" s="70">
        <f t="shared" si="31"/>
        <v>4635</v>
      </c>
      <c r="M50" s="70">
        <f t="shared" si="31"/>
        <v>5150</v>
      </c>
      <c r="N50" s="85"/>
      <c r="O50" s="63"/>
      <c r="P50" s="52">
        <f>M50+515</f>
        <v>5665</v>
      </c>
      <c r="Q50" s="70">
        <f>P50+515</f>
        <v>6180</v>
      </c>
      <c r="R50" s="70">
        <f t="shared" ref="R50:T50" si="32">Q50+515</f>
        <v>6695</v>
      </c>
      <c r="S50" s="70">
        <f t="shared" si="32"/>
        <v>7210</v>
      </c>
      <c r="T50" s="70">
        <f t="shared" si="32"/>
        <v>7725</v>
      </c>
      <c r="U50" s="85"/>
      <c r="V50" s="63"/>
      <c r="W50" s="52">
        <f>T50+515</f>
        <v>8240</v>
      </c>
      <c r="X50" s="70">
        <f>W50+515</f>
        <v>8755</v>
      </c>
      <c r="Y50" s="70">
        <f t="shared" ref="Y50:AA50" si="33">X50+515</f>
        <v>9270</v>
      </c>
      <c r="Z50" s="70">
        <f t="shared" si="33"/>
        <v>9785</v>
      </c>
      <c r="AA50" s="70">
        <f t="shared" si="33"/>
        <v>10300</v>
      </c>
      <c r="AB50" s="85"/>
      <c r="AC50" s="63"/>
      <c r="AD50" s="52">
        <f>AA50+515</f>
        <v>10815</v>
      </c>
      <c r="AE50" s="83">
        <f>AD50+515</f>
        <v>11330</v>
      </c>
      <c r="AF50" s="83">
        <f>AE50+515</f>
        <v>11845</v>
      </c>
      <c r="AG50" s="32"/>
    </row>
    <row r="51" spans="1:33" x14ac:dyDescent="0.25">
      <c r="A51" s="19" t="s">
        <v>2</v>
      </c>
      <c r="B51" s="4">
        <f>B49/B50</f>
        <v>0</v>
      </c>
      <c r="C51" s="4">
        <f t="shared" ref="C51:AF51" si="34">C49/C50</f>
        <v>0</v>
      </c>
      <c r="D51" s="4">
        <f t="shared" si="34"/>
        <v>0</v>
      </c>
      <c r="E51" s="4">
        <f t="shared" si="34"/>
        <v>0</v>
      </c>
      <c r="F51" s="4">
        <f t="shared" si="34"/>
        <v>0</v>
      </c>
      <c r="G51" s="15"/>
      <c r="H51" s="15"/>
      <c r="I51" s="4">
        <f t="shared" si="34"/>
        <v>0</v>
      </c>
      <c r="J51" s="4">
        <f t="shared" si="34"/>
        <v>0</v>
      </c>
      <c r="K51" s="4">
        <f t="shared" si="34"/>
        <v>0</v>
      </c>
      <c r="L51" s="4">
        <f t="shared" si="34"/>
        <v>0</v>
      </c>
      <c r="M51" s="4">
        <f t="shared" si="34"/>
        <v>0</v>
      </c>
      <c r="N51" s="15"/>
      <c r="O51" s="15"/>
      <c r="P51" s="4">
        <f t="shared" si="34"/>
        <v>0</v>
      </c>
      <c r="Q51" s="4">
        <f t="shared" si="34"/>
        <v>0</v>
      </c>
      <c r="R51" s="4">
        <f t="shared" si="34"/>
        <v>0</v>
      </c>
      <c r="S51" s="4">
        <f t="shared" si="34"/>
        <v>0</v>
      </c>
      <c r="T51" s="4">
        <f t="shared" si="34"/>
        <v>0</v>
      </c>
      <c r="U51" s="15"/>
      <c r="V51" s="15"/>
      <c r="W51" s="4">
        <f t="shared" si="34"/>
        <v>0</v>
      </c>
      <c r="X51" s="4">
        <f t="shared" si="34"/>
        <v>0</v>
      </c>
      <c r="Y51" s="4">
        <f t="shared" si="34"/>
        <v>0</v>
      </c>
      <c r="Z51" s="4">
        <f t="shared" si="34"/>
        <v>0</v>
      </c>
      <c r="AA51" s="4">
        <f t="shared" si="34"/>
        <v>0</v>
      </c>
      <c r="AB51" s="15"/>
      <c r="AC51" s="15"/>
      <c r="AD51" s="4">
        <f t="shared" si="34"/>
        <v>0</v>
      </c>
      <c r="AE51" s="4">
        <f t="shared" si="34"/>
        <v>0</v>
      </c>
      <c r="AF51" s="4">
        <f t="shared" si="34"/>
        <v>0</v>
      </c>
      <c r="AG51" s="32"/>
    </row>
    <row r="52" spans="1:33" ht="15.75" thickBot="1" x14ac:dyDescent="0.3">
      <c r="A52" s="20"/>
      <c r="B52" s="7"/>
      <c r="C52" s="7"/>
      <c r="D52" s="7"/>
      <c r="E52" s="26"/>
      <c r="F52" s="26"/>
      <c r="G52" s="16"/>
      <c r="H52" s="16"/>
      <c r="I52" s="7"/>
      <c r="J52" s="72"/>
      <c r="K52" s="73"/>
      <c r="L52" s="7"/>
      <c r="M52" s="7"/>
      <c r="N52" s="16"/>
      <c r="O52" s="16"/>
      <c r="P52" s="7"/>
      <c r="Q52" s="72"/>
      <c r="R52" s="73"/>
      <c r="S52" s="7"/>
      <c r="T52" s="7"/>
      <c r="U52" s="16"/>
      <c r="V52" s="16"/>
      <c r="W52" s="7"/>
      <c r="X52" s="72"/>
      <c r="Y52" s="73"/>
      <c r="Z52" s="7"/>
      <c r="AA52" s="82"/>
      <c r="AB52" s="87"/>
      <c r="AC52" s="16"/>
      <c r="AD52" s="7"/>
      <c r="AE52" s="72"/>
      <c r="AF52" s="73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ht="15.75" thickBo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78"/>
      <c r="AB55" s="78"/>
      <c r="AC55" s="32"/>
      <c r="AD55" s="32"/>
      <c r="AE55" s="32"/>
      <c r="AF55" s="32"/>
      <c r="AG55" s="32"/>
    </row>
    <row r="56" spans="1:33" x14ac:dyDescent="0.25">
      <c r="A56" s="18" t="s">
        <v>7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>
        <v>13</v>
      </c>
      <c r="O56" s="5">
        <v>14</v>
      </c>
      <c r="P56" s="5">
        <v>15</v>
      </c>
      <c r="Q56" s="5">
        <v>16</v>
      </c>
      <c r="R56" s="5">
        <v>17</v>
      </c>
      <c r="S56" s="5">
        <v>18</v>
      </c>
      <c r="T56" s="5">
        <v>19</v>
      </c>
      <c r="U56" s="5">
        <v>20</v>
      </c>
      <c r="V56" s="5">
        <v>21</v>
      </c>
      <c r="W56" s="5">
        <v>22</v>
      </c>
      <c r="X56" s="5">
        <v>23</v>
      </c>
      <c r="Y56" s="5">
        <v>24</v>
      </c>
      <c r="Z56" s="5">
        <v>25</v>
      </c>
      <c r="AA56" s="79">
        <v>26</v>
      </c>
      <c r="AB56" s="79">
        <v>27</v>
      </c>
      <c r="AC56" s="5">
        <v>28</v>
      </c>
      <c r="AD56" s="5">
        <v>29</v>
      </c>
      <c r="AE56" s="5">
        <v>30</v>
      </c>
      <c r="AF56" s="6">
        <v>31</v>
      </c>
      <c r="AG56" s="32"/>
    </row>
    <row r="57" spans="1:33" x14ac:dyDescent="0.25">
      <c r="A57" s="19" t="s">
        <v>8</v>
      </c>
      <c r="B57" s="56"/>
      <c r="C57" s="56"/>
      <c r="D57" s="56"/>
      <c r="E57" s="56"/>
      <c r="F57" s="56"/>
      <c r="G57" s="60"/>
      <c r="H57" s="60"/>
      <c r="I57" s="56"/>
      <c r="J57" s="68"/>
      <c r="K57" s="69"/>
      <c r="L57" s="56"/>
      <c r="M57" s="56"/>
      <c r="N57" s="60"/>
      <c r="O57" s="60"/>
      <c r="P57" s="56"/>
      <c r="Q57" s="68"/>
      <c r="R57" s="69"/>
      <c r="S57" s="56"/>
      <c r="T57" s="56"/>
      <c r="U57" s="60"/>
      <c r="V57" s="60"/>
      <c r="W57" s="56"/>
      <c r="X57" s="68"/>
      <c r="Y57" s="69"/>
      <c r="Z57" s="56"/>
      <c r="AA57" s="80"/>
      <c r="AB57" s="86"/>
      <c r="AC57" s="60"/>
      <c r="AD57" s="56"/>
      <c r="AE57" s="68"/>
      <c r="AF57" s="69"/>
      <c r="AG57" s="32"/>
    </row>
    <row r="58" spans="1:33" x14ac:dyDescent="0.25">
      <c r="A58" s="19" t="s">
        <v>1</v>
      </c>
      <c r="B58" s="52">
        <v>2004</v>
      </c>
      <c r="C58" s="52">
        <f>B58+2004</f>
        <v>4008</v>
      </c>
      <c r="D58" s="52">
        <f t="shared" ref="D58:F58" si="35">C58+2004</f>
        <v>6012</v>
      </c>
      <c r="E58" s="52">
        <f t="shared" si="35"/>
        <v>8016</v>
      </c>
      <c r="F58" s="52">
        <f t="shared" si="35"/>
        <v>10020</v>
      </c>
      <c r="G58" s="63"/>
      <c r="H58" s="63"/>
      <c r="I58" s="52">
        <f>F58+2004</f>
        <v>12024</v>
      </c>
      <c r="J58" s="70">
        <f>I58+2004</f>
        <v>14028</v>
      </c>
      <c r="K58" s="70">
        <f t="shared" ref="K58:M58" si="36">J58+2004</f>
        <v>16032</v>
      </c>
      <c r="L58" s="70">
        <f t="shared" si="36"/>
        <v>18036</v>
      </c>
      <c r="M58" s="70">
        <f t="shared" si="36"/>
        <v>20040</v>
      </c>
      <c r="N58" s="85"/>
      <c r="O58" s="63"/>
      <c r="P58" s="52">
        <f>M58+2004</f>
        <v>22044</v>
      </c>
      <c r="Q58" s="70">
        <f>P58+2004</f>
        <v>24048</v>
      </c>
      <c r="R58" s="70">
        <f t="shared" ref="R58:T58" si="37">Q58+2004</f>
        <v>26052</v>
      </c>
      <c r="S58" s="70">
        <f t="shared" si="37"/>
        <v>28056</v>
      </c>
      <c r="T58" s="70">
        <f t="shared" si="37"/>
        <v>30060</v>
      </c>
      <c r="U58" s="85"/>
      <c r="V58" s="63"/>
      <c r="W58" s="52">
        <f>T58+2004</f>
        <v>32064</v>
      </c>
      <c r="X58" s="70">
        <f>W58+2004</f>
        <v>34068</v>
      </c>
      <c r="Y58" s="70">
        <f t="shared" ref="Y58:AA58" si="38">X58+2004</f>
        <v>36072</v>
      </c>
      <c r="Z58" s="70">
        <f t="shared" si="38"/>
        <v>38076</v>
      </c>
      <c r="AA58" s="70">
        <f t="shared" si="38"/>
        <v>40080</v>
      </c>
      <c r="AB58" s="85"/>
      <c r="AC58" s="63"/>
      <c r="AD58" s="52">
        <f>AA58+2004</f>
        <v>42084</v>
      </c>
      <c r="AE58" s="83">
        <f>AD58+2004</f>
        <v>44088</v>
      </c>
      <c r="AF58" s="83">
        <f>AE58+2004</f>
        <v>46092</v>
      </c>
      <c r="AG58" s="32"/>
    </row>
    <row r="59" spans="1:33" x14ac:dyDescent="0.25">
      <c r="A59" s="19" t="s">
        <v>2</v>
      </c>
      <c r="B59" s="4">
        <f>B57/B58</f>
        <v>0</v>
      </c>
      <c r="C59" s="4">
        <f t="shared" ref="C59:AF59" si="39">C57/C58</f>
        <v>0</v>
      </c>
      <c r="D59" s="4">
        <f t="shared" si="39"/>
        <v>0</v>
      </c>
      <c r="E59" s="4">
        <f t="shared" si="39"/>
        <v>0</v>
      </c>
      <c r="F59" s="4">
        <f t="shared" si="39"/>
        <v>0</v>
      </c>
      <c r="G59" s="15"/>
      <c r="H59" s="15"/>
      <c r="I59" s="4">
        <f t="shared" si="39"/>
        <v>0</v>
      </c>
      <c r="J59" s="4">
        <f t="shared" si="39"/>
        <v>0</v>
      </c>
      <c r="K59" s="4">
        <f t="shared" si="39"/>
        <v>0</v>
      </c>
      <c r="L59" s="4">
        <f t="shared" si="39"/>
        <v>0</v>
      </c>
      <c r="M59" s="4">
        <f t="shared" si="39"/>
        <v>0</v>
      </c>
      <c r="N59" s="15"/>
      <c r="O59" s="15"/>
      <c r="P59" s="4">
        <f t="shared" si="39"/>
        <v>0</v>
      </c>
      <c r="Q59" s="4">
        <f t="shared" si="39"/>
        <v>0</v>
      </c>
      <c r="R59" s="4">
        <f t="shared" si="39"/>
        <v>0</v>
      </c>
      <c r="S59" s="4">
        <f t="shared" si="39"/>
        <v>0</v>
      </c>
      <c r="T59" s="4">
        <f t="shared" si="39"/>
        <v>0</v>
      </c>
      <c r="U59" s="15"/>
      <c r="V59" s="15"/>
      <c r="W59" s="4">
        <f t="shared" si="39"/>
        <v>0</v>
      </c>
      <c r="X59" s="4">
        <f t="shared" si="39"/>
        <v>0</v>
      </c>
      <c r="Y59" s="4">
        <f t="shared" si="39"/>
        <v>0</v>
      </c>
      <c r="Z59" s="4">
        <f t="shared" si="39"/>
        <v>0</v>
      </c>
      <c r="AA59" s="4">
        <f t="shared" si="39"/>
        <v>0</v>
      </c>
      <c r="AB59" s="15"/>
      <c r="AC59" s="15"/>
      <c r="AD59" s="4">
        <f t="shared" si="39"/>
        <v>0</v>
      </c>
      <c r="AE59" s="4">
        <f t="shared" si="39"/>
        <v>0</v>
      </c>
      <c r="AF59" s="4">
        <f t="shared" si="39"/>
        <v>0</v>
      </c>
      <c r="AG59" s="32"/>
    </row>
    <row r="60" spans="1:33" ht="15.75" thickBot="1" x14ac:dyDescent="0.3">
      <c r="A60" s="20"/>
      <c r="B60" s="7"/>
      <c r="C60" s="7"/>
      <c r="D60" s="7"/>
      <c r="E60" s="26"/>
      <c r="F60" s="26"/>
      <c r="G60" s="16"/>
      <c r="H60" s="16"/>
      <c r="I60" s="7"/>
      <c r="J60" s="72"/>
      <c r="K60" s="73"/>
      <c r="L60" s="7"/>
      <c r="M60" s="7"/>
      <c r="N60" s="16"/>
      <c r="O60" s="16"/>
      <c r="P60" s="7"/>
      <c r="Q60" s="72"/>
      <c r="R60" s="73"/>
      <c r="S60" s="7"/>
      <c r="T60" s="7"/>
      <c r="U60" s="16"/>
      <c r="V60" s="16"/>
      <c r="W60" s="7"/>
      <c r="X60" s="72"/>
      <c r="Y60" s="73"/>
      <c r="Z60" s="7"/>
      <c r="AA60" s="82"/>
      <c r="AB60" s="87"/>
      <c r="AC60" s="16"/>
      <c r="AD60" s="7"/>
      <c r="AE60" s="72"/>
      <c r="AF60" s="73"/>
      <c r="AG60" s="32"/>
    </row>
    <row r="61" spans="1:33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ht="15.75" thickBo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78"/>
      <c r="AB62" s="78"/>
      <c r="AC62" s="32"/>
      <c r="AD62" s="32"/>
      <c r="AE62" s="32"/>
      <c r="AF62" s="32"/>
      <c r="AG62" s="32"/>
    </row>
    <row r="63" spans="1:33" x14ac:dyDescent="0.25">
      <c r="A63" s="18" t="s">
        <v>40</v>
      </c>
      <c r="B63" s="5">
        <v>1</v>
      </c>
      <c r="C63" s="5">
        <v>2</v>
      </c>
      <c r="D63" s="5">
        <v>3</v>
      </c>
      <c r="E63" s="5">
        <v>4</v>
      </c>
      <c r="F63" s="5">
        <v>5</v>
      </c>
      <c r="G63" s="5">
        <v>6</v>
      </c>
      <c r="H63" s="5">
        <v>7</v>
      </c>
      <c r="I63" s="5">
        <v>8</v>
      </c>
      <c r="J63" s="5">
        <v>9</v>
      </c>
      <c r="K63" s="5">
        <v>10</v>
      </c>
      <c r="L63" s="5">
        <v>11</v>
      </c>
      <c r="M63" s="5">
        <v>12</v>
      </c>
      <c r="N63" s="5">
        <v>13</v>
      </c>
      <c r="O63" s="5">
        <v>14</v>
      </c>
      <c r="P63" s="5">
        <v>15</v>
      </c>
      <c r="Q63" s="5">
        <v>16</v>
      </c>
      <c r="R63" s="5">
        <v>17</v>
      </c>
      <c r="S63" s="5">
        <v>18</v>
      </c>
      <c r="T63" s="5">
        <v>19</v>
      </c>
      <c r="U63" s="5">
        <v>20</v>
      </c>
      <c r="V63" s="5">
        <v>21</v>
      </c>
      <c r="W63" s="5">
        <v>22</v>
      </c>
      <c r="X63" s="5">
        <v>23</v>
      </c>
      <c r="Y63" s="5">
        <v>24</v>
      </c>
      <c r="Z63" s="5">
        <v>25</v>
      </c>
      <c r="AA63" s="79">
        <v>26</v>
      </c>
      <c r="AB63" s="79">
        <v>27</v>
      </c>
      <c r="AC63" s="5">
        <v>28</v>
      </c>
      <c r="AD63" s="5">
        <v>29</v>
      </c>
      <c r="AE63" s="5">
        <v>30</v>
      </c>
      <c r="AF63" s="6">
        <v>31</v>
      </c>
    </row>
    <row r="64" spans="1:33" x14ac:dyDescent="0.25">
      <c r="A64" s="19" t="s">
        <v>8</v>
      </c>
      <c r="B64" s="56"/>
      <c r="C64" s="56"/>
      <c r="D64" s="56"/>
      <c r="E64" s="56"/>
      <c r="F64" s="56"/>
      <c r="G64" s="60"/>
      <c r="H64" s="60"/>
      <c r="I64" s="56"/>
      <c r="J64" s="68"/>
      <c r="K64" s="69"/>
      <c r="L64" s="56"/>
      <c r="M64" s="56"/>
      <c r="N64" s="60"/>
      <c r="O64" s="60"/>
      <c r="P64" s="56"/>
      <c r="Q64" s="68"/>
      <c r="R64" s="69"/>
      <c r="S64" s="56"/>
      <c r="T64" s="56"/>
      <c r="U64" s="60"/>
      <c r="V64" s="60"/>
      <c r="W64" s="56"/>
      <c r="X64" s="68"/>
      <c r="Y64" s="69"/>
      <c r="Z64" s="56"/>
      <c r="AA64" s="80"/>
      <c r="AB64" s="86"/>
      <c r="AC64" s="60"/>
      <c r="AD64" s="56"/>
      <c r="AE64" s="68"/>
      <c r="AF64" s="69"/>
    </row>
    <row r="65" spans="1:32" x14ac:dyDescent="0.25">
      <c r="A65" s="19" t="s">
        <v>1</v>
      </c>
      <c r="B65" s="52">
        <v>913</v>
      </c>
      <c r="C65" s="52">
        <f>B65+913</f>
        <v>1826</v>
      </c>
      <c r="D65" s="52">
        <f t="shared" ref="D65:F65" si="40">C65+913</f>
        <v>2739</v>
      </c>
      <c r="E65" s="52">
        <f t="shared" si="40"/>
        <v>3652</v>
      </c>
      <c r="F65" s="52">
        <f t="shared" si="40"/>
        <v>4565</v>
      </c>
      <c r="G65" s="63"/>
      <c r="H65" s="63"/>
      <c r="I65" s="52">
        <f>F65+913</f>
        <v>5478</v>
      </c>
      <c r="J65" s="70">
        <f>I65+913</f>
        <v>6391</v>
      </c>
      <c r="K65" s="70">
        <f t="shared" ref="K65:M65" si="41">J65+913</f>
        <v>7304</v>
      </c>
      <c r="L65" s="70">
        <f t="shared" si="41"/>
        <v>8217</v>
      </c>
      <c r="M65" s="70">
        <f t="shared" si="41"/>
        <v>9130</v>
      </c>
      <c r="N65" s="85"/>
      <c r="O65" s="63"/>
      <c r="P65" s="52">
        <f>M65+913</f>
        <v>10043</v>
      </c>
      <c r="Q65" s="70">
        <f>P65+913</f>
        <v>10956</v>
      </c>
      <c r="R65" s="70">
        <f t="shared" ref="R65:T65" si="42">Q65+913</f>
        <v>11869</v>
      </c>
      <c r="S65" s="70">
        <f t="shared" si="42"/>
        <v>12782</v>
      </c>
      <c r="T65" s="70">
        <f t="shared" si="42"/>
        <v>13695</v>
      </c>
      <c r="U65" s="85"/>
      <c r="V65" s="63"/>
      <c r="W65" s="52">
        <f>T65+913</f>
        <v>14608</v>
      </c>
      <c r="X65" s="70">
        <f>W65+913</f>
        <v>15521</v>
      </c>
      <c r="Y65" s="70">
        <f t="shared" ref="Y65:AA65" si="43">X65+913</f>
        <v>16434</v>
      </c>
      <c r="Z65" s="70">
        <f t="shared" si="43"/>
        <v>17347</v>
      </c>
      <c r="AA65" s="70">
        <f t="shared" si="43"/>
        <v>18260</v>
      </c>
      <c r="AB65" s="85"/>
      <c r="AC65" s="63"/>
      <c r="AD65" s="52">
        <f>AA65+913</f>
        <v>19173</v>
      </c>
      <c r="AE65" s="83">
        <f>AD65+913</f>
        <v>20086</v>
      </c>
      <c r="AF65" s="83">
        <f>AE65+913</f>
        <v>20999</v>
      </c>
    </row>
    <row r="66" spans="1:32" x14ac:dyDescent="0.25">
      <c r="A66" s="19" t="s">
        <v>2</v>
      </c>
      <c r="B66" s="4">
        <f>B64/B65</f>
        <v>0</v>
      </c>
      <c r="C66" s="4">
        <f t="shared" ref="C66:AF66" si="44">C64/C65</f>
        <v>0</v>
      </c>
      <c r="D66" s="4">
        <f t="shared" si="44"/>
        <v>0</v>
      </c>
      <c r="E66" s="4">
        <f t="shared" si="44"/>
        <v>0</v>
      </c>
      <c r="F66" s="4">
        <f t="shared" si="44"/>
        <v>0</v>
      </c>
      <c r="G66" s="15"/>
      <c r="H66" s="15"/>
      <c r="I66" s="4">
        <f t="shared" si="44"/>
        <v>0</v>
      </c>
      <c r="J66" s="4">
        <f t="shared" si="44"/>
        <v>0</v>
      </c>
      <c r="K66" s="4">
        <f t="shared" si="44"/>
        <v>0</v>
      </c>
      <c r="L66" s="4">
        <f t="shared" si="44"/>
        <v>0</v>
      </c>
      <c r="M66" s="4">
        <f t="shared" si="44"/>
        <v>0</v>
      </c>
      <c r="N66" s="15"/>
      <c r="O66" s="15"/>
      <c r="P66" s="4">
        <f t="shared" si="44"/>
        <v>0</v>
      </c>
      <c r="Q66" s="4">
        <f t="shared" si="44"/>
        <v>0</v>
      </c>
      <c r="R66" s="4">
        <f t="shared" si="44"/>
        <v>0</v>
      </c>
      <c r="S66" s="4">
        <f t="shared" si="44"/>
        <v>0</v>
      </c>
      <c r="T66" s="4">
        <f t="shared" si="44"/>
        <v>0</v>
      </c>
      <c r="U66" s="15"/>
      <c r="V66" s="15"/>
      <c r="W66" s="4">
        <f t="shared" si="44"/>
        <v>0</v>
      </c>
      <c r="X66" s="4">
        <f t="shared" si="44"/>
        <v>0</v>
      </c>
      <c r="Y66" s="4">
        <f t="shared" si="44"/>
        <v>0</v>
      </c>
      <c r="Z66" s="4">
        <f t="shared" si="44"/>
        <v>0</v>
      </c>
      <c r="AA66" s="4">
        <f t="shared" si="44"/>
        <v>0</v>
      </c>
      <c r="AB66" s="15"/>
      <c r="AC66" s="15"/>
      <c r="AD66" s="4">
        <f t="shared" si="44"/>
        <v>0</v>
      </c>
      <c r="AE66" s="4">
        <f t="shared" si="44"/>
        <v>0</v>
      </c>
      <c r="AF66" s="4">
        <f t="shared" si="44"/>
        <v>0</v>
      </c>
    </row>
    <row r="67" spans="1:32" ht="15.75" thickBot="1" x14ac:dyDescent="0.3">
      <c r="A67" s="20"/>
      <c r="B67" s="7"/>
      <c r="C67" s="7"/>
      <c r="D67" s="7"/>
      <c r="E67" s="26"/>
      <c r="F67" s="26"/>
      <c r="G67" s="16"/>
      <c r="H67" s="16"/>
      <c r="I67" s="7"/>
      <c r="J67" s="72"/>
      <c r="K67" s="73"/>
      <c r="L67" s="7"/>
      <c r="M67" s="7"/>
      <c r="N67" s="16"/>
      <c r="O67" s="16"/>
      <c r="P67" s="7"/>
      <c r="Q67" s="72"/>
      <c r="R67" s="73"/>
      <c r="S67" s="7"/>
      <c r="T67" s="7"/>
      <c r="U67" s="16"/>
      <c r="V67" s="16"/>
      <c r="W67" s="7"/>
      <c r="X67" s="72"/>
      <c r="Y67" s="73"/>
      <c r="Z67" s="7"/>
      <c r="AA67" s="82"/>
      <c r="AB67" s="87"/>
      <c r="AC67" s="16"/>
      <c r="AD67" s="7"/>
      <c r="AE67" s="72"/>
      <c r="AF67" s="73"/>
    </row>
    <row r="69" spans="1:32" ht="15.75" thickBot="1" x14ac:dyDescent="0.3"/>
    <row r="70" spans="1:32" x14ac:dyDescent="0.25">
      <c r="A70" s="18" t="s">
        <v>41</v>
      </c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N70" s="5">
        <v>13</v>
      </c>
      <c r="O70" s="5">
        <v>14</v>
      </c>
      <c r="P70" s="5">
        <v>15</v>
      </c>
      <c r="Q70" s="5">
        <v>16</v>
      </c>
      <c r="R70" s="5">
        <v>17</v>
      </c>
      <c r="S70" s="5">
        <v>18</v>
      </c>
      <c r="T70" s="5">
        <v>19</v>
      </c>
      <c r="U70" s="5">
        <v>20</v>
      </c>
      <c r="V70" s="5">
        <v>21</v>
      </c>
      <c r="W70" s="5">
        <v>22</v>
      </c>
      <c r="X70" s="5">
        <v>23</v>
      </c>
      <c r="Y70" s="5">
        <v>24</v>
      </c>
      <c r="Z70" s="5">
        <v>25</v>
      </c>
      <c r="AA70" s="79">
        <v>26</v>
      </c>
      <c r="AB70" s="79">
        <v>27</v>
      </c>
      <c r="AC70" s="5">
        <v>28</v>
      </c>
      <c r="AD70" s="5">
        <v>29</v>
      </c>
      <c r="AE70" s="5">
        <v>30</v>
      </c>
      <c r="AF70" s="6">
        <v>31</v>
      </c>
    </row>
    <row r="71" spans="1:32" x14ac:dyDescent="0.25">
      <c r="A71" s="19" t="s">
        <v>8</v>
      </c>
      <c r="B71" s="56"/>
      <c r="C71" s="56"/>
      <c r="D71" s="56"/>
      <c r="E71" s="56"/>
      <c r="F71" s="56"/>
      <c r="G71" s="60"/>
      <c r="H71" s="60"/>
      <c r="I71" s="56"/>
      <c r="J71" s="68"/>
      <c r="K71" s="69"/>
      <c r="L71" s="56"/>
      <c r="M71" s="56"/>
      <c r="N71" s="60"/>
      <c r="O71" s="60"/>
      <c r="P71" s="56"/>
      <c r="Q71" s="68"/>
      <c r="R71" s="69"/>
      <c r="S71" s="56"/>
      <c r="T71" s="56"/>
      <c r="U71" s="60"/>
      <c r="V71" s="60"/>
      <c r="W71" s="56"/>
      <c r="X71" s="68"/>
      <c r="Y71" s="69"/>
      <c r="Z71" s="56"/>
      <c r="AA71" s="80"/>
      <c r="AB71" s="86"/>
      <c r="AC71" s="60"/>
      <c r="AD71" s="56"/>
      <c r="AE71" s="68"/>
      <c r="AF71" s="69"/>
    </row>
    <row r="72" spans="1:32" x14ac:dyDescent="0.25">
      <c r="A72" s="19" t="s">
        <v>1</v>
      </c>
      <c r="B72" s="52">
        <v>861</v>
      </c>
      <c r="C72" s="52">
        <f>B72+861</f>
        <v>1722</v>
      </c>
      <c r="D72" s="52">
        <f t="shared" ref="D72:F72" si="45">C72+861</f>
        <v>2583</v>
      </c>
      <c r="E72" s="52">
        <f t="shared" si="45"/>
        <v>3444</v>
      </c>
      <c r="F72" s="52">
        <f t="shared" si="45"/>
        <v>4305</v>
      </c>
      <c r="G72" s="63"/>
      <c r="H72" s="63"/>
      <c r="I72" s="52">
        <f>F72+861</f>
        <v>5166</v>
      </c>
      <c r="J72" s="70">
        <f>I72+861</f>
        <v>6027</v>
      </c>
      <c r="K72" s="70">
        <f t="shared" ref="K72:M72" si="46">J72+861</f>
        <v>6888</v>
      </c>
      <c r="L72" s="70">
        <f t="shared" si="46"/>
        <v>7749</v>
      </c>
      <c r="M72" s="70">
        <f t="shared" si="46"/>
        <v>8610</v>
      </c>
      <c r="N72" s="85"/>
      <c r="O72" s="63"/>
      <c r="P72" s="52">
        <f>M72+861</f>
        <v>9471</v>
      </c>
      <c r="Q72" s="70">
        <f>P72+861</f>
        <v>10332</v>
      </c>
      <c r="R72" s="70">
        <f t="shared" ref="R72:T72" si="47">Q72+861</f>
        <v>11193</v>
      </c>
      <c r="S72" s="70">
        <f t="shared" si="47"/>
        <v>12054</v>
      </c>
      <c r="T72" s="70">
        <f t="shared" si="47"/>
        <v>12915</v>
      </c>
      <c r="U72" s="85"/>
      <c r="V72" s="63"/>
      <c r="W72" s="52">
        <f>T72+861</f>
        <v>13776</v>
      </c>
      <c r="X72" s="70">
        <f>W72+861</f>
        <v>14637</v>
      </c>
      <c r="Y72" s="70">
        <f t="shared" ref="Y72:AA72" si="48">X72+861</f>
        <v>15498</v>
      </c>
      <c r="Z72" s="70">
        <f t="shared" si="48"/>
        <v>16359</v>
      </c>
      <c r="AA72" s="70">
        <f t="shared" si="48"/>
        <v>17220</v>
      </c>
      <c r="AB72" s="85"/>
      <c r="AC72" s="63"/>
      <c r="AD72" s="52">
        <f>AA72+861</f>
        <v>18081</v>
      </c>
      <c r="AE72" s="83">
        <f>AD72+861</f>
        <v>18942</v>
      </c>
      <c r="AF72" s="83">
        <f>AE72+861</f>
        <v>19803</v>
      </c>
    </row>
    <row r="73" spans="1:32" x14ac:dyDescent="0.25">
      <c r="A73" s="19" t="s">
        <v>2</v>
      </c>
      <c r="B73" s="4">
        <f>B71/B72</f>
        <v>0</v>
      </c>
      <c r="C73" s="4">
        <f t="shared" ref="C73:AF73" si="49">C71/C72</f>
        <v>0</v>
      </c>
      <c r="D73" s="4">
        <f t="shared" si="49"/>
        <v>0</v>
      </c>
      <c r="E73" s="4">
        <f t="shared" si="49"/>
        <v>0</v>
      </c>
      <c r="F73" s="4">
        <f t="shared" si="49"/>
        <v>0</v>
      </c>
      <c r="G73" s="15"/>
      <c r="H73" s="15"/>
      <c r="I73" s="4">
        <f t="shared" si="49"/>
        <v>0</v>
      </c>
      <c r="J73" s="4">
        <f t="shared" si="49"/>
        <v>0</v>
      </c>
      <c r="K73" s="4">
        <f t="shared" si="49"/>
        <v>0</v>
      </c>
      <c r="L73" s="4">
        <f t="shared" si="49"/>
        <v>0</v>
      </c>
      <c r="M73" s="4">
        <f t="shared" si="49"/>
        <v>0</v>
      </c>
      <c r="N73" s="15"/>
      <c r="O73" s="15"/>
      <c r="P73" s="4">
        <f t="shared" si="49"/>
        <v>0</v>
      </c>
      <c r="Q73" s="4">
        <f t="shared" si="49"/>
        <v>0</v>
      </c>
      <c r="R73" s="4">
        <f t="shared" si="49"/>
        <v>0</v>
      </c>
      <c r="S73" s="4">
        <f t="shared" si="49"/>
        <v>0</v>
      </c>
      <c r="T73" s="4">
        <f t="shared" si="49"/>
        <v>0</v>
      </c>
      <c r="U73" s="15"/>
      <c r="V73" s="15"/>
      <c r="W73" s="4">
        <f t="shared" si="49"/>
        <v>0</v>
      </c>
      <c r="X73" s="4">
        <f t="shared" si="49"/>
        <v>0</v>
      </c>
      <c r="Y73" s="4">
        <f t="shared" si="49"/>
        <v>0</v>
      </c>
      <c r="Z73" s="4">
        <f t="shared" si="49"/>
        <v>0</v>
      </c>
      <c r="AA73" s="4">
        <f t="shared" si="49"/>
        <v>0</v>
      </c>
      <c r="AB73" s="15"/>
      <c r="AC73" s="15"/>
      <c r="AD73" s="4">
        <f t="shared" si="49"/>
        <v>0</v>
      </c>
      <c r="AE73" s="4">
        <f t="shared" si="49"/>
        <v>0</v>
      </c>
      <c r="AF73" s="4">
        <f t="shared" si="49"/>
        <v>0</v>
      </c>
    </row>
    <row r="74" spans="1:32" ht="15.75" thickBot="1" x14ac:dyDescent="0.3">
      <c r="A74" s="20"/>
      <c r="B74" s="7"/>
      <c r="C74" s="7"/>
      <c r="D74" s="7"/>
      <c r="E74" s="26"/>
      <c r="F74" s="26"/>
      <c r="G74" s="16"/>
      <c r="H74" s="16"/>
      <c r="I74" s="7"/>
      <c r="J74" s="72"/>
      <c r="K74" s="73"/>
      <c r="L74" s="7"/>
      <c r="M74" s="7"/>
      <c r="N74" s="16"/>
      <c r="O74" s="16"/>
      <c r="P74" s="7"/>
      <c r="Q74" s="72"/>
      <c r="R74" s="73"/>
      <c r="S74" s="7"/>
      <c r="T74" s="7"/>
      <c r="U74" s="16"/>
      <c r="V74" s="16"/>
      <c r="W74" s="7"/>
      <c r="X74" s="72"/>
      <c r="Y74" s="73"/>
      <c r="Z74" s="7"/>
      <c r="AA74" s="82"/>
      <c r="AB74" s="87"/>
      <c r="AC74" s="16"/>
      <c r="AD74" s="7"/>
      <c r="AE74" s="72"/>
      <c r="AF74" s="73"/>
    </row>
  </sheetData>
  <mergeCells count="1">
    <mergeCell ref="C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74"/>
  <sheetViews>
    <sheetView topLeftCell="A12" zoomScale="70" zoomScaleNormal="70" zoomScaleSheetLayoutView="40" zoomScalePageLayoutView="40" workbookViewId="0">
      <selection activeCell="AH27" sqref="AH27"/>
    </sheetView>
  </sheetViews>
  <sheetFormatPr baseColWidth="10" defaultRowHeight="15" x14ac:dyDescent="0.25"/>
  <cols>
    <col min="1" max="1" width="56.7109375" customWidth="1"/>
    <col min="2" max="26" width="8.7109375" customWidth="1"/>
    <col min="27" max="28" width="11" style="39" bestFit="1" customWidth="1"/>
    <col min="29" max="31" width="11.5703125" bestFit="1" customWidth="1"/>
  </cols>
  <sheetData>
    <row r="1" spans="1:36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</row>
    <row r="3" spans="1:36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>
        <f>21</f>
        <v>21</v>
      </c>
    </row>
    <row r="4" spans="1:36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</row>
    <row r="5" spans="1:36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</row>
    <row r="6" spans="1:36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57"/>
      <c r="AG6" s="8"/>
      <c r="AH6" s="8"/>
      <c r="AI6" s="8"/>
      <c r="AJ6" s="8"/>
    </row>
    <row r="7" spans="1:36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7"/>
      <c r="AG7" s="27"/>
      <c r="AH7" s="9"/>
      <c r="AI7" s="27"/>
      <c r="AJ7" s="9"/>
    </row>
    <row r="8" spans="1:36" x14ac:dyDescent="0.25">
      <c r="A8" s="19" t="s">
        <v>8</v>
      </c>
      <c r="B8" s="59"/>
      <c r="C8" s="56"/>
      <c r="D8" s="60"/>
      <c r="E8" s="60"/>
      <c r="F8" s="56"/>
      <c r="G8" s="56"/>
      <c r="H8" s="56"/>
      <c r="I8" s="56"/>
      <c r="J8" s="68"/>
      <c r="K8" s="89"/>
      <c r="L8" s="60"/>
      <c r="M8" s="56"/>
      <c r="N8" s="56"/>
      <c r="O8" s="56"/>
      <c r="P8" s="56"/>
      <c r="Q8" s="68"/>
      <c r="R8" s="89"/>
      <c r="S8" s="60"/>
      <c r="T8" s="56"/>
      <c r="U8" s="56"/>
      <c r="V8" s="56"/>
      <c r="W8" s="56"/>
      <c r="X8" s="68"/>
      <c r="Y8" s="89"/>
      <c r="Z8" s="60"/>
      <c r="AA8" s="80"/>
      <c r="AB8" s="80"/>
      <c r="AC8" s="56"/>
      <c r="AD8" s="56"/>
      <c r="AE8" s="68"/>
      <c r="AF8" s="58"/>
      <c r="AG8" s="2"/>
      <c r="AH8" s="2"/>
      <c r="AI8" s="2"/>
      <c r="AJ8" s="10"/>
    </row>
    <row r="9" spans="1:36" x14ac:dyDescent="0.25">
      <c r="A9" s="19" t="s">
        <v>1</v>
      </c>
      <c r="B9" s="62"/>
      <c r="C9" s="52">
        <v>5856</v>
      </c>
      <c r="D9" s="63"/>
      <c r="E9" s="63"/>
      <c r="F9" s="52">
        <f>C9+5856</f>
        <v>11712</v>
      </c>
      <c r="G9" s="52">
        <f>F9+5856</f>
        <v>17568</v>
      </c>
      <c r="H9" s="52">
        <f t="shared" ref="H9:J9" si="0">G9+5856</f>
        <v>23424</v>
      </c>
      <c r="I9" s="52">
        <f t="shared" si="0"/>
        <v>29280</v>
      </c>
      <c r="J9" s="52">
        <f t="shared" si="0"/>
        <v>35136</v>
      </c>
      <c r="K9" s="85"/>
      <c r="L9" s="85"/>
      <c r="M9" s="71">
        <f>J9+5856</f>
        <v>40992</v>
      </c>
      <c r="N9" s="71">
        <f>M9+5856</f>
        <v>46848</v>
      </c>
      <c r="O9" s="71">
        <f t="shared" ref="O9:Q9" si="1">N9+5856</f>
        <v>52704</v>
      </c>
      <c r="P9" s="71">
        <f t="shared" si="1"/>
        <v>58560</v>
      </c>
      <c r="Q9" s="71">
        <f t="shared" si="1"/>
        <v>64416</v>
      </c>
      <c r="R9" s="85"/>
      <c r="S9" s="85"/>
      <c r="T9" s="71">
        <f>Q9+5856</f>
        <v>70272</v>
      </c>
      <c r="U9" s="71">
        <f>T9+5856</f>
        <v>76128</v>
      </c>
      <c r="V9" s="71">
        <f t="shared" ref="V9:X9" si="2">U9+5856</f>
        <v>81984</v>
      </c>
      <c r="W9" s="71">
        <f t="shared" si="2"/>
        <v>87840</v>
      </c>
      <c r="X9" s="71">
        <f t="shared" si="2"/>
        <v>93696</v>
      </c>
      <c r="Y9" s="85"/>
      <c r="Z9" s="85"/>
      <c r="AA9" s="71">
        <f>X9+5856</f>
        <v>99552</v>
      </c>
      <c r="AB9" s="71">
        <f>AA9+5856</f>
        <v>105408</v>
      </c>
      <c r="AC9" s="71">
        <f t="shared" ref="AC9:AE9" si="3">AB9+5856</f>
        <v>111264</v>
      </c>
      <c r="AD9" s="71">
        <f t="shared" si="3"/>
        <v>117120</v>
      </c>
      <c r="AE9" s="71">
        <f t="shared" si="3"/>
        <v>122976</v>
      </c>
      <c r="AF9" s="58"/>
      <c r="AG9" s="2"/>
      <c r="AH9" s="2"/>
      <c r="AI9" s="2"/>
      <c r="AJ9" s="2"/>
    </row>
    <row r="10" spans="1:36" x14ac:dyDescent="0.25">
      <c r="A10" s="19" t="s">
        <v>2</v>
      </c>
      <c r="B10" s="53"/>
      <c r="C10" s="4">
        <f>C8/C9</f>
        <v>0</v>
      </c>
      <c r="D10" s="15"/>
      <c r="E10" s="15"/>
      <c r="F10" s="4">
        <f t="shared" ref="F10:AE10" si="4">F8/F9</f>
        <v>0</v>
      </c>
      <c r="G10" s="4">
        <f t="shared" si="4"/>
        <v>0</v>
      </c>
      <c r="H10" s="4">
        <f t="shared" si="4"/>
        <v>0</v>
      </c>
      <c r="I10" s="4">
        <f t="shared" si="4"/>
        <v>0</v>
      </c>
      <c r="J10" s="4">
        <f t="shared" si="4"/>
        <v>0</v>
      </c>
      <c r="K10" s="15"/>
      <c r="L10" s="15"/>
      <c r="M10" s="4">
        <f t="shared" si="4"/>
        <v>0</v>
      </c>
      <c r="N10" s="4">
        <f t="shared" si="4"/>
        <v>0</v>
      </c>
      <c r="O10" s="4">
        <f t="shared" si="4"/>
        <v>0</v>
      </c>
      <c r="P10" s="4">
        <f t="shared" si="4"/>
        <v>0</v>
      </c>
      <c r="Q10" s="4">
        <f t="shared" si="4"/>
        <v>0</v>
      </c>
      <c r="R10" s="15"/>
      <c r="S10" s="15"/>
      <c r="T10" s="4">
        <f t="shared" si="4"/>
        <v>0</v>
      </c>
      <c r="U10" s="4">
        <f t="shared" si="4"/>
        <v>0</v>
      </c>
      <c r="V10" s="4">
        <f t="shared" si="4"/>
        <v>0</v>
      </c>
      <c r="W10" s="4">
        <f t="shared" si="4"/>
        <v>0</v>
      </c>
      <c r="X10" s="4">
        <f t="shared" si="4"/>
        <v>0</v>
      </c>
      <c r="Y10" s="15"/>
      <c r="Z10" s="15"/>
      <c r="AA10" s="4">
        <f t="shared" si="4"/>
        <v>0</v>
      </c>
      <c r="AB10" s="4">
        <f t="shared" si="4"/>
        <v>0</v>
      </c>
      <c r="AC10" s="4">
        <f t="shared" si="4"/>
        <v>0</v>
      </c>
      <c r="AD10" s="4">
        <f t="shared" si="4"/>
        <v>0</v>
      </c>
      <c r="AE10" s="4">
        <f t="shared" si="4"/>
        <v>0</v>
      </c>
      <c r="AF10" s="11"/>
      <c r="AG10" s="11"/>
      <c r="AH10" s="11"/>
      <c r="AI10" s="11"/>
      <c r="AJ10" s="11"/>
    </row>
    <row r="11" spans="1:36" ht="15.75" thickBot="1" x14ac:dyDescent="0.3">
      <c r="A11" s="20"/>
      <c r="B11" s="54"/>
      <c r="C11" s="7"/>
      <c r="D11" s="16"/>
      <c r="E11" s="88"/>
      <c r="F11" s="26"/>
      <c r="G11" s="7"/>
      <c r="H11" s="7"/>
      <c r="I11" s="7"/>
      <c r="J11" s="72"/>
      <c r="K11" s="90"/>
      <c r="L11" s="16"/>
      <c r="M11" s="7"/>
      <c r="N11" s="7"/>
      <c r="O11" s="7"/>
      <c r="P11" s="7"/>
      <c r="Q11" s="72"/>
      <c r="R11" s="90"/>
      <c r="S11" s="16"/>
      <c r="T11" s="7"/>
      <c r="U11" s="7"/>
      <c r="V11" s="7"/>
      <c r="W11" s="7"/>
      <c r="X11" s="72"/>
      <c r="Y11" s="90"/>
      <c r="Z11" s="16"/>
      <c r="AA11" s="82"/>
      <c r="AB11" s="82"/>
      <c r="AC11" s="7"/>
      <c r="AD11" s="7"/>
      <c r="AE11" s="72"/>
      <c r="AF11" s="11"/>
      <c r="AG11" s="11"/>
      <c r="AH11" s="11"/>
      <c r="AI11" s="11"/>
      <c r="AJ11" s="11"/>
    </row>
    <row r="12" spans="1:36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78"/>
      <c r="AB12" s="78"/>
      <c r="AC12" s="32"/>
      <c r="AD12" s="32"/>
      <c r="AE12" s="32"/>
      <c r="AF12" s="32"/>
    </row>
    <row r="13" spans="1:36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78"/>
      <c r="AB13" s="78"/>
      <c r="AC13" s="32"/>
      <c r="AD13" s="32"/>
      <c r="AE13" s="32"/>
      <c r="AF13" s="32"/>
    </row>
    <row r="14" spans="1:36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32"/>
    </row>
    <row r="15" spans="1:36" x14ac:dyDescent="0.25">
      <c r="A15" s="19" t="s">
        <v>8</v>
      </c>
      <c r="B15" s="59"/>
      <c r="C15" s="56"/>
      <c r="D15" s="60"/>
      <c r="E15" s="60"/>
      <c r="F15" s="56"/>
      <c r="G15" s="56"/>
      <c r="H15" s="56"/>
      <c r="I15" s="56"/>
      <c r="J15" s="68"/>
      <c r="K15" s="89"/>
      <c r="L15" s="60"/>
      <c r="M15" s="56"/>
      <c r="N15" s="56"/>
      <c r="O15" s="56"/>
      <c r="P15" s="56"/>
      <c r="Q15" s="68"/>
      <c r="R15" s="89"/>
      <c r="S15" s="60"/>
      <c r="T15" s="56"/>
      <c r="U15" s="56"/>
      <c r="V15" s="56"/>
      <c r="W15" s="56"/>
      <c r="X15" s="68"/>
      <c r="Y15" s="89"/>
      <c r="Z15" s="60"/>
      <c r="AA15" s="80"/>
      <c r="AB15" s="80"/>
      <c r="AC15" s="56"/>
      <c r="AD15" s="56"/>
      <c r="AE15" s="68"/>
      <c r="AF15" s="32"/>
    </row>
    <row r="16" spans="1:36" x14ac:dyDescent="0.25">
      <c r="A16" s="19" t="s">
        <v>1</v>
      </c>
      <c r="B16" s="62"/>
      <c r="C16" s="52">
        <v>792</v>
      </c>
      <c r="D16" s="63"/>
      <c r="E16" s="63"/>
      <c r="F16" s="52">
        <f>C16+792</f>
        <v>1584</v>
      </c>
      <c r="G16" s="52">
        <f>F16+792</f>
        <v>2376</v>
      </c>
      <c r="H16" s="52">
        <f t="shared" ref="H16:J16" si="5">G16+792</f>
        <v>3168</v>
      </c>
      <c r="I16" s="52">
        <f t="shared" si="5"/>
        <v>3960</v>
      </c>
      <c r="J16" s="52">
        <f t="shared" si="5"/>
        <v>4752</v>
      </c>
      <c r="K16" s="85"/>
      <c r="L16" s="85"/>
      <c r="M16" s="71">
        <f>J16+792</f>
        <v>5544</v>
      </c>
      <c r="N16" s="71">
        <f>M16+792</f>
        <v>6336</v>
      </c>
      <c r="O16" s="71">
        <f t="shared" ref="O16:Q16" si="6">N16+792</f>
        <v>7128</v>
      </c>
      <c r="P16" s="71">
        <f t="shared" si="6"/>
        <v>7920</v>
      </c>
      <c r="Q16" s="71">
        <f t="shared" si="6"/>
        <v>8712</v>
      </c>
      <c r="R16" s="85"/>
      <c r="S16" s="85"/>
      <c r="T16" s="71">
        <f>Q16+792</f>
        <v>9504</v>
      </c>
      <c r="U16" s="71">
        <f>T16+792</f>
        <v>10296</v>
      </c>
      <c r="V16" s="71">
        <f t="shared" ref="V16:X16" si="7">U16+792</f>
        <v>11088</v>
      </c>
      <c r="W16" s="71">
        <f t="shared" si="7"/>
        <v>11880</v>
      </c>
      <c r="X16" s="71">
        <f t="shared" si="7"/>
        <v>12672</v>
      </c>
      <c r="Y16" s="85"/>
      <c r="Z16" s="85"/>
      <c r="AA16" s="71">
        <f>X16+792</f>
        <v>13464</v>
      </c>
      <c r="AB16" s="71">
        <f>AA16+792</f>
        <v>14256</v>
      </c>
      <c r="AC16" s="71">
        <f t="shared" ref="AC16:AE16" si="8">AB16+792</f>
        <v>15048</v>
      </c>
      <c r="AD16" s="71">
        <f t="shared" si="8"/>
        <v>15840</v>
      </c>
      <c r="AE16" s="71">
        <f t="shared" si="8"/>
        <v>16632</v>
      </c>
      <c r="AF16" s="32"/>
    </row>
    <row r="17" spans="1:32" x14ac:dyDescent="0.25">
      <c r="A17" s="19" t="s">
        <v>2</v>
      </c>
      <c r="B17" s="53"/>
      <c r="C17" s="4">
        <f>C15/C16</f>
        <v>0</v>
      </c>
      <c r="D17" s="15"/>
      <c r="E17" s="15"/>
      <c r="F17" s="4">
        <f t="shared" ref="F17:AE17" si="9">F15/F16</f>
        <v>0</v>
      </c>
      <c r="G17" s="4">
        <f t="shared" si="9"/>
        <v>0</v>
      </c>
      <c r="H17" s="4">
        <f t="shared" si="9"/>
        <v>0</v>
      </c>
      <c r="I17" s="4">
        <f t="shared" si="9"/>
        <v>0</v>
      </c>
      <c r="J17" s="4">
        <f t="shared" si="9"/>
        <v>0</v>
      </c>
      <c r="K17" s="15"/>
      <c r="L17" s="15"/>
      <c r="M17" s="4">
        <f t="shared" si="9"/>
        <v>0</v>
      </c>
      <c r="N17" s="4">
        <f t="shared" si="9"/>
        <v>0</v>
      </c>
      <c r="O17" s="4">
        <f t="shared" si="9"/>
        <v>0</v>
      </c>
      <c r="P17" s="4">
        <f t="shared" si="9"/>
        <v>0</v>
      </c>
      <c r="Q17" s="4">
        <f t="shared" si="9"/>
        <v>0</v>
      </c>
      <c r="R17" s="15"/>
      <c r="S17" s="15"/>
      <c r="T17" s="4">
        <f t="shared" si="9"/>
        <v>0</v>
      </c>
      <c r="U17" s="4">
        <f t="shared" si="9"/>
        <v>0</v>
      </c>
      <c r="V17" s="4">
        <f t="shared" si="9"/>
        <v>0</v>
      </c>
      <c r="W17" s="4">
        <f t="shared" si="9"/>
        <v>0</v>
      </c>
      <c r="X17" s="4">
        <f t="shared" si="9"/>
        <v>0</v>
      </c>
      <c r="Y17" s="15"/>
      <c r="Z17" s="15"/>
      <c r="AA17" s="4">
        <f t="shared" si="9"/>
        <v>0</v>
      </c>
      <c r="AB17" s="4">
        <f t="shared" si="9"/>
        <v>0</v>
      </c>
      <c r="AC17" s="4">
        <f t="shared" si="9"/>
        <v>0</v>
      </c>
      <c r="AD17" s="4">
        <f t="shared" si="9"/>
        <v>0</v>
      </c>
      <c r="AE17" s="4">
        <f t="shared" si="9"/>
        <v>0</v>
      </c>
      <c r="AF17" s="32"/>
    </row>
    <row r="18" spans="1:32" ht="15.75" thickBot="1" x14ac:dyDescent="0.3">
      <c r="A18" s="20"/>
      <c r="B18" s="54"/>
      <c r="C18" s="7"/>
      <c r="D18" s="16"/>
      <c r="E18" s="88"/>
      <c r="F18" s="26"/>
      <c r="G18" s="7"/>
      <c r="H18" s="7"/>
      <c r="I18" s="7"/>
      <c r="J18" s="72"/>
      <c r="K18" s="90"/>
      <c r="L18" s="16"/>
      <c r="M18" s="7"/>
      <c r="N18" s="7"/>
      <c r="O18" s="7"/>
      <c r="P18" s="7"/>
      <c r="Q18" s="72"/>
      <c r="R18" s="90"/>
      <c r="S18" s="16"/>
      <c r="T18" s="7"/>
      <c r="U18" s="7"/>
      <c r="V18" s="7"/>
      <c r="W18" s="7"/>
      <c r="X18" s="72"/>
      <c r="Y18" s="90"/>
      <c r="Z18" s="16"/>
      <c r="AA18" s="82"/>
      <c r="AB18" s="82"/>
      <c r="AC18" s="7"/>
      <c r="AD18" s="7"/>
      <c r="AE18" s="72"/>
      <c r="AF18" s="32"/>
    </row>
    <row r="19" spans="1:32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78"/>
      <c r="AB19" s="78"/>
      <c r="AC19" s="32"/>
      <c r="AD19" s="32"/>
      <c r="AE19" s="32"/>
      <c r="AF19" s="32"/>
    </row>
    <row r="20" spans="1:32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78"/>
      <c r="AB20" s="78"/>
      <c r="AC20" s="32"/>
      <c r="AD20" s="32"/>
      <c r="AE20" s="32"/>
      <c r="AF20" s="32"/>
    </row>
    <row r="21" spans="1:32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32"/>
    </row>
    <row r="22" spans="1:32" x14ac:dyDescent="0.25">
      <c r="A22" s="19" t="s">
        <v>8</v>
      </c>
      <c r="B22" s="59"/>
      <c r="C22" s="56"/>
      <c r="D22" s="60"/>
      <c r="E22" s="60"/>
      <c r="F22" s="56"/>
      <c r="G22" s="56"/>
      <c r="H22" s="56"/>
      <c r="I22" s="56"/>
      <c r="J22" s="68"/>
      <c r="K22" s="89"/>
      <c r="L22" s="60"/>
      <c r="M22" s="56"/>
      <c r="N22" s="56"/>
      <c r="O22" s="56"/>
      <c r="P22" s="56"/>
      <c r="Q22" s="68"/>
      <c r="R22" s="89"/>
      <c r="S22" s="60"/>
      <c r="T22" s="56"/>
      <c r="U22" s="56"/>
      <c r="V22" s="56"/>
      <c r="W22" s="56"/>
      <c r="X22" s="68"/>
      <c r="Y22" s="89"/>
      <c r="Z22" s="60"/>
      <c r="AA22" s="80"/>
      <c r="AB22" s="80"/>
      <c r="AC22" s="56"/>
      <c r="AD22" s="56"/>
      <c r="AE22" s="68"/>
      <c r="AF22" s="32"/>
    </row>
    <row r="23" spans="1:32" x14ac:dyDescent="0.25">
      <c r="A23" s="19" t="s">
        <v>1</v>
      </c>
      <c r="B23" s="62"/>
      <c r="C23" s="52">
        <v>2877</v>
      </c>
      <c r="D23" s="63"/>
      <c r="E23" s="63"/>
      <c r="F23" s="52">
        <f>C23+2877</f>
        <v>5754</v>
      </c>
      <c r="G23" s="52">
        <f>F23+2877</f>
        <v>8631</v>
      </c>
      <c r="H23" s="52">
        <f t="shared" ref="H23:J23" si="10">G23+2877</f>
        <v>11508</v>
      </c>
      <c r="I23" s="52">
        <f t="shared" si="10"/>
        <v>14385</v>
      </c>
      <c r="J23" s="52">
        <f t="shared" si="10"/>
        <v>17262</v>
      </c>
      <c r="K23" s="85"/>
      <c r="L23" s="85"/>
      <c r="M23" s="71">
        <f>J23+2877</f>
        <v>20139</v>
      </c>
      <c r="N23" s="71">
        <f>M23+2877</f>
        <v>23016</v>
      </c>
      <c r="O23" s="71">
        <f t="shared" ref="O23:Q23" si="11">N23+2877</f>
        <v>25893</v>
      </c>
      <c r="P23" s="71">
        <f t="shared" si="11"/>
        <v>28770</v>
      </c>
      <c r="Q23" s="71">
        <f t="shared" si="11"/>
        <v>31647</v>
      </c>
      <c r="R23" s="85"/>
      <c r="S23" s="85"/>
      <c r="T23" s="71">
        <f>Q23+2877</f>
        <v>34524</v>
      </c>
      <c r="U23" s="71">
        <f>T23+2877</f>
        <v>37401</v>
      </c>
      <c r="V23" s="71">
        <f t="shared" ref="V23:X23" si="12">U23+2877</f>
        <v>40278</v>
      </c>
      <c r="W23" s="71">
        <f t="shared" si="12"/>
        <v>43155</v>
      </c>
      <c r="X23" s="71">
        <f t="shared" si="12"/>
        <v>46032</v>
      </c>
      <c r="Y23" s="85"/>
      <c r="Z23" s="85"/>
      <c r="AA23" s="71">
        <f>X23+2877</f>
        <v>48909</v>
      </c>
      <c r="AB23" s="71">
        <f>AA23+2877</f>
        <v>51786</v>
      </c>
      <c r="AC23" s="71">
        <f t="shared" ref="AC23:AE23" si="13">AB23+2877</f>
        <v>54663</v>
      </c>
      <c r="AD23" s="71">
        <f t="shared" si="13"/>
        <v>57540</v>
      </c>
      <c r="AE23" s="71">
        <f t="shared" si="13"/>
        <v>60417</v>
      </c>
      <c r="AF23" s="32"/>
    </row>
    <row r="24" spans="1:32" x14ac:dyDescent="0.25">
      <c r="A24" s="19" t="s">
        <v>2</v>
      </c>
      <c r="B24" s="53"/>
      <c r="C24" s="4">
        <f>C22/C23</f>
        <v>0</v>
      </c>
      <c r="D24" s="15"/>
      <c r="E24" s="15"/>
      <c r="F24" s="4">
        <f t="shared" ref="F24:AE24" si="14">F22/F23</f>
        <v>0</v>
      </c>
      <c r="G24" s="4">
        <f t="shared" si="14"/>
        <v>0</v>
      </c>
      <c r="H24" s="4">
        <f t="shared" si="14"/>
        <v>0</v>
      </c>
      <c r="I24" s="4">
        <f t="shared" si="14"/>
        <v>0</v>
      </c>
      <c r="J24" s="4">
        <f t="shared" si="14"/>
        <v>0</v>
      </c>
      <c r="K24" s="15"/>
      <c r="L24" s="15"/>
      <c r="M24" s="4">
        <f t="shared" si="14"/>
        <v>0</v>
      </c>
      <c r="N24" s="4">
        <f t="shared" si="14"/>
        <v>0</v>
      </c>
      <c r="O24" s="4">
        <f t="shared" si="14"/>
        <v>0</v>
      </c>
      <c r="P24" s="4">
        <f t="shared" si="14"/>
        <v>0</v>
      </c>
      <c r="Q24" s="4">
        <f t="shared" si="14"/>
        <v>0</v>
      </c>
      <c r="R24" s="15"/>
      <c r="S24" s="15"/>
      <c r="T24" s="4">
        <f t="shared" si="14"/>
        <v>0</v>
      </c>
      <c r="U24" s="4">
        <f t="shared" si="14"/>
        <v>0</v>
      </c>
      <c r="V24" s="4">
        <f t="shared" si="14"/>
        <v>0</v>
      </c>
      <c r="W24" s="4">
        <f t="shared" si="14"/>
        <v>0</v>
      </c>
      <c r="X24" s="4">
        <f t="shared" si="14"/>
        <v>0</v>
      </c>
      <c r="Y24" s="15"/>
      <c r="Z24" s="15"/>
      <c r="AA24" s="4">
        <f t="shared" si="14"/>
        <v>0</v>
      </c>
      <c r="AB24" s="4">
        <f t="shared" si="14"/>
        <v>0</v>
      </c>
      <c r="AC24" s="4">
        <f t="shared" si="14"/>
        <v>0</v>
      </c>
      <c r="AD24" s="4">
        <f t="shared" si="14"/>
        <v>0</v>
      </c>
      <c r="AE24" s="4">
        <f t="shared" si="14"/>
        <v>0</v>
      </c>
      <c r="AF24" s="32"/>
    </row>
    <row r="25" spans="1:32" ht="15.75" thickBot="1" x14ac:dyDescent="0.3">
      <c r="A25" s="20"/>
      <c r="B25" s="54"/>
      <c r="C25" s="7"/>
      <c r="D25" s="16"/>
      <c r="E25" s="88"/>
      <c r="F25" s="26"/>
      <c r="G25" s="7"/>
      <c r="H25" s="7"/>
      <c r="I25" s="7"/>
      <c r="J25" s="72"/>
      <c r="K25" s="90"/>
      <c r="L25" s="16"/>
      <c r="M25" s="7"/>
      <c r="N25" s="7"/>
      <c r="O25" s="7"/>
      <c r="P25" s="7"/>
      <c r="Q25" s="72"/>
      <c r="R25" s="90"/>
      <c r="S25" s="16"/>
      <c r="T25" s="7"/>
      <c r="U25" s="7"/>
      <c r="V25" s="7"/>
      <c r="W25" s="7"/>
      <c r="X25" s="72"/>
      <c r="Y25" s="90"/>
      <c r="Z25" s="16"/>
      <c r="AA25" s="82"/>
      <c r="AB25" s="82"/>
      <c r="AC25" s="7"/>
      <c r="AD25" s="7"/>
      <c r="AE25" s="72"/>
      <c r="AF25" s="32"/>
    </row>
    <row r="26" spans="1:32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78"/>
      <c r="AB26" s="78"/>
      <c r="AC26" s="32"/>
      <c r="AD26" s="32"/>
      <c r="AE26" s="32"/>
      <c r="AF26" s="32"/>
    </row>
    <row r="27" spans="1:32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78"/>
      <c r="AB27" s="78"/>
      <c r="AC27" s="32"/>
      <c r="AD27" s="32"/>
      <c r="AE27" s="32"/>
      <c r="AF27" s="32"/>
    </row>
    <row r="28" spans="1:32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32"/>
    </row>
    <row r="29" spans="1:32" x14ac:dyDescent="0.25">
      <c r="A29" s="19" t="s">
        <v>8</v>
      </c>
      <c r="B29" s="59"/>
      <c r="C29" s="56"/>
      <c r="D29" s="60"/>
      <c r="E29" s="60"/>
      <c r="F29" s="56"/>
      <c r="G29" s="56"/>
      <c r="H29" s="56"/>
      <c r="I29" s="56"/>
      <c r="J29" s="68"/>
      <c r="K29" s="89"/>
      <c r="L29" s="60"/>
      <c r="M29" s="56"/>
      <c r="N29" s="56"/>
      <c r="O29" s="56"/>
      <c r="P29" s="56"/>
      <c r="Q29" s="68"/>
      <c r="R29" s="89"/>
      <c r="S29" s="60"/>
      <c r="T29" s="56"/>
      <c r="U29" s="56"/>
      <c r="V29" s="56"/>
      <c r="W29" s="56"/>
      <c r="X29" s="68"/>
      <c r="Y29" s="89"/>
      <c r="Z29" s="60"/>
      <c r="AA29" s="80"/>
      <c r="AB29" s="80"/>
      <c r="AC29" s="56"/>
      <c r="AD29" s="56"/>
      <c r="AE29" s="68"/>
      <c r="AF29" s="32"/>
    </row>
    <row r="30" spans="1:32" x14ac:dyDescent="0.25">
      <c r="A30" s="19" t="s">
        <v>1</v>
      </c>
      <c r="B30" s="62"/>
      <c r="C30" s="52">
        <v>1770</v>
      </c>
      <c r="D30" s="63"/>
      <c r="E30" s="63"/>
      <c r="F30" s="52">
        <f>C30+1770</f>
        <v>3540</v>
      </c>
      <c r="G30" s="52">
        <f>F30+1770</f>
        <v>5310</v>
      </c>
      <c r="H30" s="52">
        <f t="shared" ref="H30:J30" si="15">G30+1770</f>
        <v>7080</v>
      </c>
      <c r="I30" s="52">
        <f t="shared" si="15"/>
        <v>8850</v>
      </c>
      <c r="J30" s="52">
        <f t="shared" si="15"/>
        <v>10620</v>
      </c>
      <c r="K30" s="85"/>
      <c r="L30" s="85"/>
      <c r="M30" s="71">
        <f>J30+1770</f>
        <v>12390</v>
      </c>
      <c r="N30" s="71">
        <f>M30+1770</f>
        <v>14160</v>
      </c>
      <c r="O30" s="71">
        <f t="shared" ref="O30:Q30" si="16">N30+1770</f>
        <v>15930</v>
      </c>
      <c r="P30" s="71">
        <f t="shared" si="16"/>
        <v>17700</v>
      </c>
      <c r="Q30" s="71">
        <f t="shared" si="16"/>
        <v>19470</v>
      </c>
      <c r="R30" s="85"/>
      <c r="S30" s="85"/>
      <c r="T30" s="71">
        <f>Q30+1770</f>
        <v>21240</v>
      </c>
      <c r="U30" s="71">
        <f>T30+1770</f>
        <v>23010</v>
      </c>
      <c r="V30" s="71">
        <f t="shared" ref="V30:X30" si="17">U30+1770</f>
        <v>24780</v>
      </c>
      <c r="W30" s="71">
        <f t="shared" si="17"/>
        <v>26550</v>
      </c>
      <c r="X30" s="71">
        <f t="shared" si="17"/>
        <v>28320</v>
      </c>
      <c r="Y30" s="85"/>
      <c r="Z30" s="85"/>
      <c r="AA30" s="71">
        <f>X30+1770</f>
        <v>30090</v>
      </c>
      <c r="AB30" s="71">
        <f>AA30+1770</f>
        <v>31860</v>
      </c>
      <c r="AC30" s="71">
        <f t="shared" ref="AC30:AE30" si="18">AB30+1770</f>
        <v>33630</v>
      </c>
      <c r="AD30" s="71">
        <f t="shared" si="18"/>
        <v>35400</v>
      </c>
      <c r="AE30" s="71">
        <f t="shared" si="18"/>
        <v>37170</v>
      </c>
      <c r="AF30" s="32"/>
    </row>
    <row r="31" spans="1:32" x14ac:dyDescent="0.25">
      <c r="A31" s="19" t="s">
        <v>2</v>
      </c>
      <c r="B31" s="53"/>
      <c r="C31" s="4">
        <f>C29/C30</f>
        <v>0</v>
      </c>
      <c r="D31" s="15"/>
      <c r="E31" s="15"/>
      <c r="F31" s="4">
        <f t="shared" ref="F31:AE31" si="19">F29/F30</f>
        <v>0</v>
      </c>
      <c r="G31" s="4">
        <f t="shared" si="19"/>
        <v>0</v>
      </c>
      <c r="H31" s="4">
        <f t="shared" si="19"/>
        <v>0</v>
      </c>
      <c r="I31" s="4">
        <f t="shared" si="19"/>
        <v>0</v>
      </c>
      <c r="J31" s="4">
        <f t="shared" si="19"/>
        <v>0</v>
      </c>
      <c r="K31" s="15"/>
      <c r="L31" s="15"/>
      <c r="M31" s="4">
        <f t="shared" si="19"/>
        <v>0</v>
      </c>
      <c r="N31" s="4">
        <f t="shared" si="19"/>
        <v>0</v>
      </c>
      <c r="O31" s="4">
        <f t="shared" si="19"/>
        <v>0</v>
      </c>
      <c r="P31" s="4">
        <f t="shared" si="19"/>
        <v>0</v>
      </c>
      <c r="Q31" s="4">
        <f t="shared" si="19"/>
        <v>0</v>
      </c>
      <c r="R31" s="15"/>
      <c r="S31" s="15"/>
      <c r="T31" s="4">
        <f t="shared" si="19"/>
        <v>0</v>
      </c>
      <c r="U31" s="4">
        <f t="shared" si="19"/>
        <v>0</v>
      </c>
      <c r="V31" s="4">
        <f t="shared" si="19"/>
        <v>0</v>
      </c>
      <c r="W31" s="4">
        <f t="shared" si="19"/>
        <v>0</v>
      </c>
      <c r="X31" s="4">
        <f t="shared" si="19"/>
        <v>0</v>
      </c>
      <c r="Y31" s="15"/>
      <c r="Z31" s="15"/>
      <c r="AA31" s="4">
        <f t="shared" si="19"/>
        <v>0</v>
      </c>
      <c r="AB31" s="4">
        <f t="shared" si="19"/>
        <v>0</v>
      </c>
      <c r="AC31" s="4">
        <f t="shared" si="19"/>
        <v>0</v>
      </c>
      <c r="AD31" s="4">
        <f t="shared" si="19"/>
        <v>0</v>
      </c>
      <c r="AE31" s="4">
        <f t="shared" si="19"/>
        <v>0</v>
      </c>
      <c r="AF31" s="32"/>
    </row>
    <row r="32" spans="1:32" ht="15.75" thickBot="1" x14ac:dyDescent="0.3">
      <c r="A32" s="20"/>
      <c r="B32" s="54"/>
      <c r="C32" s="7"/>
      <c r="D32" s="16"/>
      <c r="E32" s="88"/>
      <c r="F32" s="26"/>
      <c r="G32" s="7"/>
      <c r="H32" s="7"/>
      <c r="I32" s="7"/>
      <c r="J32" s="72"/>
      <c r="K32" s="90"/>
      <c r="L32" s="16"/>
      <c r="M32" s="7"/>
      <c r="N32" s="7"/>
      <c r="O32" s="7"/>
      <c r="P32" s="7"/>
      <c r="Q32" s="72"/>
      <c r="R32" s="90"/>
      <c r="S32" s="16"/>
      <c r="T32" s="7"/>
      <c r="U32" s="7"/>
      <c r="V32" s="7"/>
      <c r="W32" s="7"/>
      <c r="X32" s="72"/>
      <c r="Y32" s="90"/>
      <c r="Z32" s="16"/>
      <c r="AA32" s="82"/>
      <c r="AB32" s="82"/>
      <c r="AC32" s="7"/>
      <c r="AD32" s="7"/>
      <c r="AE32" s="72"/>
      <c r="AF32" s="32"/>
    </row>
    <row r="33" spans="1:32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</row>
    <row r="34" spans="1:32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</row>
    <row r="35" spans="1:32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32"/>
    </row>
    <row r="36" spans="1:32" x14ac:dyDescent="0.25">
      <c r="A36" s="19" t="s">
        <v>8</v>
      </c>
      <c r="B36" s="59"/>
      <c r="C36" s="56"/>
      <c r="D36" s="60"/>
      <c r="E36" s="60"/>
      <c r="F36" s="56"/>
      <c r="G36" s="56"/>
      <c r="H36" s="56"/>
      <c r="I36" s="56"/>
      <c r="J36" s="68"/>
      <c r="K36" s="89"/>
      <c r="L36" s="60"/>
      <c r="M36" s="56"/>
      <c r="N36" s="56"/>
      <c r="O36" s="56"/>
      <c r="P36" s="56"/>
      <c r="Q36" s="68"/>
      <c r="R36" s="89"/>
      <c r="S36" s="60"/>
      <c r="T36" s="56"/>
      <c r="U36" s="56"/>
      <c r="V36" s="56"/>
      <c r="W36" s="56"/>
      <c r="X36" s="68"/>
      <c r="Y36" s="89"/>
      <c r="Z36" s="60"/>
      <c r="AA36" s="80"/>
      <c r="AB36" s="80"/>
      <c r="AC36" s="56"/>
      <c r="AD36" s="56"/>
      <c r="AE36" s="68"/>
      <c r="AF36" s="32"/>
    </row>
    <row r="37" spans="1:32" x14ac:dyDescent="0.25">
      <c r="A37" s="19" t="s">
        <v>1</v>
      </c>
      <c r="B37" s="62"/>
      <c r="C37" s="52">
        <v>3262</v>
      </c>
      <c r="D37" s="63"/>
      <c r="E37" s="63"/>
      <c r="F37" s="52">
        <f>C37+3262</f>
        <v>6524</v>
      </c>
      <c r="G37" s="52">
        <f>F37+3262</f>
        <v>9786</v>
      </c>
      <c r="H37" s="52">
        <f t="shared" ref="H37:J37" si="20">G37+3262</f>
        <v>13048</v>
      </c>
      <c r="I37" s="52">
        <f t="shared" si="20"/>
        <v>16310</v>
      </c>
      <c r="J37" s="52">
        <f t="shared" si="20"/>
        <v>19572</v>
      </c>
      <c r="K37" s="85"/>
      <c r="L37" s="85"/>
      <c r="M37" s="71">
        <f>J37+3262</f>
        <v>22834</v>
      </c>
      <c r="N37" s="71">
        <f>M37+3262</f>
        <v>26096</v>
      </c>
      <c r="O37" s="71">
        <f t="shared" ref="O37:Q37" si="21">N37+3262</f>
        <v>29358</v>
      </c>
      <c r="P37" s="71">
        <f t="shared" si="21"/>
        <v>32620</v>
      </c>
      <c r="Q37" s="71">
        <f t="shared" si="21"/>
        <v>35882</v>
      </c>
      <c r="R37" s="85"/>
      <c r="S37" s="85"/>
      <c r="T37" s="71">
        <f>Q37+3262</f>
        <v>39144</v>
      </c>
      <c r="U37" s="71">
        <f>T37+3262</f>
        <v>42406</v>
      </c>
      <c r="V37" s="71">
        <f t="shared" ref="V37:X37" si="22">U37+3262</f>
        <v>45668</v>
      </c>
      <c r="W37" s="71">
        <f t="shared" si="22"/>
        <v>48930</v>
      </c>
      <c r="X37" s="71">
        <f t="shared" si="22"/>
        <v>52192</v>
      </c>
      <c r="Y37" s="85"/>
      <c r="Z37" s="85"/>
      <c r="AA37" s="71">
        <f>X37+3262</f>
        <v>55454</v>
      </c>
      <c r="AB37" s="71">
        <f>AA37+3262</f>
        <v>58716</v>
      </c>
      <c r="AC37" s="71">
        <f t="shared" ref="AC37:AE37" si="23">AB37+3262</f>
        <v>61978</v>
      </c>
      <c r="AD37" s="71">
        <f t="shared" si="23"/>
        <v>65240</v>
      </c>
      <c r="AE37" s="71">
        <f t="shared" si="23"/>
        <v>68502</v>
      </c>
      <c r="AF37" s="32"/>
    </row>
    <row r="38" spans="1:32" x14ac:dyDescent="0.25">
      <c r="A38" s="19" t="s">
        <v>2</v>
      </c>
      <c r="B38" s="53"/>
      <c r="C38" s="4">
        <f>C36/C37</f>
        <v>0</v>
      </c>
      <c r="D38" s="15"/>
      <c r="E38" s="15"/>
      <c r="F38" s="4">
        <f t="shared" ref="F38:AE38" si="24">F36/F37</f>
        <v>0</v>
      </c>
      <c r="G38" s="4">
        <f t="shared" si="24"/>
        <v>0</v>
      </c>
      <c r="H38" s="4">
        <f t="shared" si="24"/>
        <v>0</v>
      </c>
      <c r="I38" s="4">
        <f t="shared" si="24"/>
        <v>0</v>
      </c>
      <c r="J38" s="4">
        <f t="shared" si="24"/>
        <v>0</v>
      </c>
      <c r="K38" s="15"/>
      <c r="L38" s="15"/>
      <c r="M38" s="4">
        <f t="shared" si="24"/>
        <v>0</v>
      </c>
      <c r="N38" s="4">
        <f t="shared" si="24"/>
        <v>0</v>
      </c>
      <c r="O38" s="4">
        <f t="shared" si="24"/>
        <v>0</v>
      </c>
      <c r="P38" s="4">
        <f t="shared" si="24"/>
        <v>0</v>
      </c>
      <c r="Q38" s="4">
        <f t="shared" si="24"/>
        <v>0</v>
      </c>
      <c r="R38" s="15"/>
      <c r="S38" s="15"/>
      <c r="T38" s="4">
        <f t="shared" si="24"/>
        <v>0</v>
      </c>
      <c r="U38" s="4">
        <f t="shared" si="24"/>
        <v>0</v>
      </c>
      <c r="V38" s="4">
        <f t="shared" si="24"/>
        <v>0</v>
      </c>
      <c r="W38" s="4">
        <f t="shared" si="24"/>
        <v>0</v>
      </c>
      <c r="X38" s="4">
        <f t="shared" si="24"/>
        <v>0</v>
      </c>
      <c r="Y38" s="15"/>
      <c r="Z38" s="15"/>
      <c r="AA38" s="4">
        <f t="shared" si="24"/>
        <v>0</v>
      </c>
      <c r="AB38" s="4">
        <f t="shared" si="24"/>
        <v>0</v>
      </c>
      <c r="AC38" s="4">
        <f t="shared" si="24"/>
        <v>0</v>
      </c>
      <c r="AD38" s="4">
        <f t="shared" si="24"/>
        <v>0</v>
      </c>
      <c r="AE38" s="4">
        <f t="shared" si="24"/>
        <v>0</v>
      </c>
      <c r="AF38" s="32"/>
    </row>
    <row r="39" spans="1:32" ht="15.75" thickBot="1" x14ac:dyDescent="0.3">
      <c r="A39" s="20"/>
      <c r="B39" s="54"/>
      <c r="C39" s="7"/>
      <c r="D39" s="16"/>
      <c r="E39" s="88"/>
      <c r="F39" s="26"/>
      <c r="G39" s="7"/>
      <c r="H39" s="7"/>
      <c r="I39" s="7"/>
      <c r="J39" s="72"/>
      <c r="K39" s="90"/>
      <c r="L39" s="16"/>
      <c r="M39" s="7"/>
      <c r="N39" s="7"/>
      <c r="O39" s="7"/>
      <c r="P39" s="7"/>
      <c r="Q39" s="72"/>
      <c r="R39" s="90"/>
      <c r="S39" s="16"/>
      <c r="T39" s="7"/>
      <c r="U39" s="7"/>
      <c r="V39" s="7"/>
      <c r="W39" s="7"/>
      <c r="X39" s="72"/>
      <c r="Y39" s="90"/>
      <c r="Z39" s="16"/>
      <c r="AA39" s="82"/>
      <c r="AB39" s="82"/>
      <c r="AC39" s="7"/>
      <c r="AD39" s="7"/>
      <c r="AE39" s="72"/>
      <c r="AF39" s="32"/>
    </row>
    <row r="40" spans="1:32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</row>
    <row r="41" spans="1:32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</row>
    <row r="42" spans="1:32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32"/>
    </row>
    <row r="43" spans="1:32" x14ac:dyDescent="0.25">
      <c r="A43" s="19" t="s">
        <v>8</v>
      </c>
      <c r="B43" s="59"/>
      <c r="C43" s="56"/>
      <c r="D43" s="60"/>
      <c r="E43" s="60"/>
      <c r="F43" s="56"/>
      <c r="G43" s="56"/>
      <c r="H43" s="56"/>
      <c r="I43" s="56"/>
      <c r="J43" s="68"/>
      <c r="K43" s="89"/>
      <c r="L43" s="60"/>
      <c r="M43" s="56"/>
      <c r="N43" s="56"/>
      <c r="O43" s="56"/>
      <c r="P43" s="56"/>
      <c r="Q43" s="68"/>
      <c r="R43" s="89"/>
      <c r="S43" s="60"/>
      <c r="T43" s="56"/>
      <c r="U43" s="56"/>
      <c r="V43" s="56"/>
      <c r="W43" s="56"/>
      <c r="X43" s="68"/>
      <c r="Y43" s="89"/>
      <c r="Z43" s="60"/>
      <c r="AA43" s="80"/>
      <c r="AB43" s="80"/>
      <c r="AC43" s="56"/>
      <c r="AD43" s="56"/>
      <c r="AE43" s="68"/>
      <c r="AF43" s="32"/>
    </row>
    <row r="44" spans="1:32" x14ac:dyDescent="0.25">
      <c r="A44" s="19" t="s">
        <v>1</v>
      </c>
      <c r="B44" s="62"/>
      <c r="C44" s="52">
        <f>731</f>
        <v>731</v>
      </c>
      <c r="D44" s="63"/>
      <c r="E44" s="63"/>
      <c r="F44" s="52">
        <f>C44+731</f>
        <v>1462</v>
      </c>
      <c r="G44" s="52">
        <f>F44+731</f>
        <v>2193</v>
      </c>
      <c r="H44" s="52">
        <f t="shared" ref="H44:J44" si="25">G44+731</f>
        <v>2924</v>
      </c>
      <c r="I44" s="52">
        <f t="shared" si="25"/>
        <v>3655</v>
      </c>
      <c r="J44" s="52">
        <f t="shared" si="25"/>
        <v>4386</v>
      </c>
      <c r="K44" s="85"/>
      <c r="L44" s="85"/>
      <c r="M44" s="71">
        <f>J44+731</f>
        <v>5117</v>
      </c>
      <c r="N44" s="71">
        <f>M44+731</f>
        <v>5848</v>
      </c>
      <c r="O44" s="71">
        <f t="shared" ref="O44:Q44" si="26">N44+731</f>
        <v>6579</v>
      </c>
      <c r="P44" s="71">
        <f t="shared" si="26"/>
        <v>7310</v>
      </c>
      <c r="Q44" s="71">
        <f t="shared" si="26"/>
        <v>8041</v>
      </c>
      <c r="R44" s="85"/>
      <c r="S44" s="85"/>
      <c r="T44" s="71">
        <f>Q44+731</f>
        <v>8772</v>
      </c>
      <c r="U44" s="71">
        <f>T44+731</f>
        <v>9503</v>
      </c>
      <c r="V44" s="71">
        <f t="shared" ref="V44:X44" si="27">U44+731</f>
        <v>10234</v>
      </c>
      <c r="W44" s="71">
        <f t="shared" si="27"/>
        <v>10965</v>
      </c>
      <c r="X44" s="71">
        <f t="shared" si="27"/>
        <v>11696</v>
      </c>
      <c r="Y44" s="85"/>
      <c r="Z44" s="85"/>
      <c r="AA44" s="71">
        <f>X44+731</f>
        <v>12427</v>
      </c>
      <c r="AB44" s="71">
        <f>AA44+731</f>
        <v>13158</v>
      </c>
      <c r="AC44" s="71">
        <f t="shared" ref="AC44:AD44" si="28">AB44+731</f>
        <v>13889</v>
      </c>
      <c r="AD44" s="71">
        <f t="shared" si="28"/>
        <v>14620</v>
      </c>
      <c r="AE44" s="71">
        <f>AD44+731</f>
        <v>15351</v>
      </c>
      <c r="AF44" s="32"/>
    </row>
    <row r="45" spans="1:32" x14ac:dyDescent="0.25">
      <c r="A45" s="19" t="s">
        <v>2</v>
      </c>
      <c r="B45" s="53"/>
      <c r="C45" s="4">
        <f>C43/C44</f>
        <v>0</v>
      </c>
      <c r="D45" s="15"/>
      <c r="E45" s="15"/>
      <c r="F45" s="4">
        <f t="shared" ref="F45:AE45" si="29">F43/F44</f>
        <v>0</v>
      </c>
      <c r="G45" s="4">
        <f t="shared" si="29"/>
        <v>0</v>
      </c>
      <c r="H45" s="4">
        <f t="shared" si="29"/>
        <v>0</v>
      </c>
      <c r="I45" s="4">
        <f t="shared" si="29"/>
        <v>0</v>
      </c>
      <c r="J45" s="4">
        <f t="shared" si="29"/>
        <v>0</v>
      </c>
      <c r="K45" s="15"/>
      <c r="L45" s="15"/>
      <c r="M45" s="4">
        <f t="shared" si="29"/>
        <v>0</v>
      </c>
      <c r="N45" s="4">
        <f t="shared" si="29"/>
        <v>0</v>
      </c>
      <c r="O45" s="4">
        <f t="shared" si="29"/>
        <v>0</v>
      </c>
      <c r="P45" s="4">
        <f t="shared" si="29"/>
        <v>0</v>
      </c>
      <c r="Q45" s="4">
        <f t="shared" si="29"/>
        <v>0</v>
      </c>
      <c r="R45" s="15"/>
      <c r="S45" s="15"/>
      <c r="T45" s="4">
        <f t="shared" si="29"/>
        <v>0</v>
      </c>
      <c r="U45" s="4">
        <f t="shared" si="29"/>
        <v>0</v>
      </c>
      <c r="V45" s="4">
        <f t="shared" si="29"/>
        <v>0</v>
      </c>
      <c r="W45" s="4">
        <f t="shared" si="29"/>
        <v>0</v>
      </c>
      <c r="X45" s="4">
        <f t="shared" si="29"/>
        <v>0</v>
      </c>
      <c r="Y45" s="15"/>
      <c r="Z45" s="15"/>
      <c r="AA45" s="4">
        <f t="shared" si="29"/>
        <v>0</v>
      </c>
      <c r="AB45" s="4">
        <f t="shared" si="29"/>
        <v>0</v>
      </c>
      <c r="AC45" s="4">
        <f t="shared" si="29"/>
        <v>0</v>
      </c>
      <c r="AD45" s="4">
        <f t="shared" si="29"/>
        <v>0</v>
      </c>
      <c r="AE45" s="4">
        <f t="shared" si="29"/>
        <v>0</v>
      </c>
      <c r="AF45" s="32"/>
    </row>
    <row r="46" spans="1:32" ht="15.75" thickBot="1" x14ac:dyDescent="0.3">
      <c r="A46" s="20"/>
      <c r="B46" s="54"/>
      <c r="C46" s="7"/>
      <c r="D46" s="16"/>
      <c r="E46" s="88"/>
      <c r="F46" s="26"/>
      <c r="G46" s="7"/>
      <c r="H46" s="7"/>
      <c r="I46" s="7"/>
      <c r="J46" s="72"/>
      <c r="K46" s="90"/>
      <c r="L46" s="16"/>
      <c r="M46" s="7"/>
      <c r="N46" s="7"/>
      <c r="O46" s="7"/>
      <c r="P46" s="7"/>
      <c r="Q46" s="72"/>
      <c r="R46" s="90"/>
      <c r="S46" s="16"/>
      <c r="T46" s="7"/>
      <c r="U46" s="7"/>
      <c r="V46" s="7"/>
      <c r="W46" s="7"/>
      <c r="X46" s="72"/>
      <c r="Y46" s="90"/>
      <c r="Z46" s="16"/>
      <c r="AA46" s="82"/>
      <c r="AB46" s="82"/>
      <c r="AC46" s="7"/>
      <c r="AD46" s="7"/>
      <c r="AE46" s="72"/>
      <c r="AF46" s="32"/>
    </row>
    <row r="47" spans="1:32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</row>
    <row r="48" spans="1:32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32"/>
    </row>
    <row r="49" spans="1:32" x14ac:dyDescent="0.25">
      <c r="A49" s="19" t="s">
        <v>8</v>
      </c>
      <c r="B49" s="59"/>
      <c r="C49" s="56"/>
      <c r="D49" s="60"/>
      <c r="E49" s="60"/>
      <c r="F49" s="56"/>
      <c r="G49" s="56"/>
      <c r="H49" s="56"/>
      <c r="I49" s="56"/>
      <c r="J49" s="68"/>
      <c r="K49" s="89"/>
      <c r="L49" s="60"/>
      <c r="M49" s="56"/>
      <c r="N49" s="56"/>
      <c r="O49" s="56"/>
      <c r="P49" s="56"/>
      <c r="Q49" s="68"/>
      <c r="R49" s="89"/>
      <c r="S49" s="60"/>
      <c r="T49" s="56"/>
      <c r="U49" s="56"/>
      <c r="V49" s="56"/>
      <c r="W49" s="56"/>
      <c r="X49" s="68"/>
      <c r="Y49" s="89"/>
      <c r="Z49" s="60"/>
      <c r="AA49" s="80"/>
      <c r="AB49" s="80"/>
      <c r="AC49" s="56"/>
      <c r="AD49" s="56"/>
      <c r="AE49" s="68"/>
      <c r="AF49" s="32"/>
    </row>
    <row r="50" spans="1:32" x14ac:dyDescent="0.25">
      <c r="A50" s="19" t="s">
        <v>1</v>
      </c>
      <c r="B50" s="62"/>
      <c r="C50" s="52">
        <v>515</v>
      </c>
      <c r="D50" s="63"/>
      <c r="E50" s="63"/>
      <c r="F50" s="52">
        <f>C50+515</f>
        <v>1030</v>
      </c>
      <c r="G50" s="52">
        <f>F50+515</f>
        <v>1545</v>
      </c>
      <c r="H50" s="52">
        <f t="shared" ref="H50:J50" si="30">G50+515</f>
        <v>2060</v>
      </c>
      <c r="I50" s="52">
        <f t="shared" si="30"/>
        <v>2575</v>
      </c>
      <c r="J50" s="52">
        <f t="shared" si="30"/>
        <v>3090</v>
      </c>
      <c r="K50" s="85"/>
      <c r="L50" s="85"/>
      <c r="M50" s="71">
        <f>J50+515</f>
        <v>3605</v>
      </c>
      <c r="N50" s="71">
        <f>M50+515</f>
        <v>4120</v>
      </c>
      <c r="O50" s="71">
        <f t="shared" ref="O50:Q50" si="31">N50+515</f>
        <v>4635</v>
      </c>
      <c r="P50" s="71">
        <f t="shared" si="31"/>
        <v>5150</v>
      </c>
      <c r="Q50" s="71">
        <f t="shared" si="31"/>
        <v>5665</v>
      </c>
      <c r="R50" s="85"/>
      <c r="S50" s="85"/>
      <c r="T50" s="71">
        <f>Q50+515</f>
        <v>6180</v>
      </c>
      <c r="U50" s="71">
        <f>T50+515</f>
        <v>6695</v>
      </c>
      <c r="V50" s="71">
        <f t="shared" ref="V50:X50" si="32">U50+515</f>
        <v>7210</v>
      </c>
      <c r="W50" s="71">
        <f t="shared" si="32"/>
        <v>7725</v>
      </c>
      <c r="X50" s="71">
        <f t="shared" si="32"/>
        <v>8240</v>
      </c>
      <c r="Y50" s="85"/>
      <c r="Z50" s="85"/>
      <c r="AA50" s="71">
        <f>X50+561</f>
        <v>8801</v>
      </c>
      <c r="AB50" s="71">
        <f>AA50+561</f>
        <v>9362</v>
      </c>
      <c r="AC50" s="71">
        <f t="shared" ref="AC50:AE50" si="33">AB50+561</f>
        <v>9923</v>
      </c>
      <c r="AD50" s="71">
        <f t="shared" si="33"/>
        <v>10484</v>
      </c>
      <c r="AE50" s="71">
        <f t="shared" si="33"/>
        <v>11045</v>
      </c>
      <c r="AF50" s="32"/>
    </row>
    <row r="51" spans="1:32" x14ac:dyDescent="0.25">
      <c r="A51" s="19" t="s">
        <v>2</v>
      </c>
      <c r="B51" s="53"/>
      <c r="C51" s="4">
        <f>C49/C50</f>
        <v>0</v>
      </c>
      <c r="D51" s="15"/>
      <c r="E51" s="15"/>
      <c r="F51" s="4">
        <f t="shared" ref="F51:AE51" si="34">F49/F50</f>
        <v>0</v>
      </c>
      <c r="G51" s="4">
        <f t="shared" si="34"/>
        <v>0</v>
      </c>
      <c r="H51" s="4">
        <f t="shared" si="34"/>
        <v>0</v>
      </c>
      <c r="I51" s="4">
        <f t="shared" si="34"/>
        <v>0</v>
      </c>
      <c r="J51" s="4">
        <f t="shared" si="34"/>
        <v>0</v>
      </c>
      <c r="K51" s="15"/>
      <c r="L51" s="15"/>
      <c r="M51" s="4">
        <f t="shared" si="34"/>
        <v>0</v>
      </c>
      <c r="N51" s="4">
        <f t="shared" si="34"/>
        <v>0</v>
      </c>
      <c r="O51" s="4">
        <f t="shared" si="34"/>
        <v>0</v>
      </c>
      <c r="P51" s="4">
        <f t="shared" si="34"/>
        <v>0</v>
      </c>
      <c r="Q51" s="4">
        <f t="shared" si="34"/>
        <v>0</v>
      </c>
      <c r="R51" s="15"/>
      <c r="S51" s="15"/>
      <c r="T51" s="4">
        <f t="shared" si="34"/>
        <v>0</v>
      </c>
      <c r="U51" s="4">
        <f t="shared" si="34"/>
        <v>0</v>
      </c>
      <c r="V51" s="4">
        <f t="shared" si="34"/>
        <v>0</v>
      </c>
      <c r="W51" s="4">
        <f t="shared" si="34"/>
        <v>0</v>
      </c>
      <c r="X51" s="4">
        <f t="shared" si="34"/>
        <v>0</v>
      </c>
      <c r="Y51" s="15"/>
      <c r="Z51" s="15"/>
      <c r="AA51" s="4">
        <f t="shared" si="34"/>
        <v>0</v>
      </c>
      <c r="AB51" s="4">
        <f t="shared" si="34"/>
        <v>0</v>
      </c>
      <c r="AC51" s="4">
        <f t="shared" si="34"/>
        <v>0</v>
      </c>
      <c r="AD51" s="4">
        <f t="shared" si="34"/>
        <v>0</v>
      </c>
      <c r="AE51" s="4">
        <f t="shared" si="34"/>
        <v>0</v>
      </c>
      <c r="AF51" s="32"/>
    </row>
    <row r="52" spans="1:32" ht="15.75" thickBot="1" x14ac:dyDescent="0.3">
      <c r="A52" s="20"/>
      <c r="B52" s="54"/>
      <c r="C52" s="7"/>
      <c r="D52" s="16"/>
      <c r="E52" s="88"/>
      <c r="F52" s="26"/>
      <c r="G52" s="7"/>
      <c r="H52" s="7"/>
      <c r="I52" s="7"/>
      <c r="J52" s="72"/>
      <c r="K52" s="90"/>
      <c r="L52" s="16"/>
      <c r="M52" s="7"/>
      <c r="N52" s="7"/>
      <c r="O52" s="7"/>
      <c r="P52" s="7"/>
      <c r="Q52" s="72"/>
      <c r="R52" s="90"/>
      <c r="S52" s="16"/>
      <c r="T52" s="7"/>
      <c r="U52" s="7"/>
      <c r="V52" s="7"/>
      <c r="W52" s="7"/>
      <c r="X52" s="72"/>
      <c r="Y52" s="90"/>
      <c r="Z52" s="16"/>
      <c r="AA52" s="82"/>
      <c r="AB52" s="82"/>
      <c r="AC52" s="7"/>
      <c r="AD52" s="7"/>
      <c r="AE52" s="72"/>
      <c r="AF52" s="32"/>
    </row>
    <row r="53" spans="1:32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</row>
    <row r="54" spans="1:32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</row>
    <row r="55" spans="1:32" ht="15.75" thickBo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78"/>
      <c r="AB55" s="78"/>
      <c r="AC55" s="32"/>
      <c r="AD55" s="32"/>
      <c r="AE55" s="32"/>
      <c r="AF55" s="32"/>
    </row>
    <row r="56" spans="1:32" x14ac:dyDescent="0.25">
      <c r="A56" s="18" t="s">
        <v>7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>
        <v>13</v>
      </c>
      <c r="O56" s="5">
        <v>14</v>
      </c>
      <c r="P56" s="5">
        <v>15</v>
      </c>
      <c r="Q56" s="5">
        <v>16</v>
      </c>
      <c r="R56" s="5">
        <v>17</v>
      </c>
      <c r="S56" s="5">
        <v>18</v>
      </c>
      <c r="T56" s="5">
        <v>19</v>
      </c>
      <c r="U56" s="5">
        <v>20</v>
      </c>
      <c r="V56" s="5">
        <v>21</v>
      </c>
      <c r="W56" s="5">
        <v>22</v>
      </c>
      <c r="X56" s="5">
        <v>23</v>
      </c>
      <c r="Y56" s="5">
        <v>24</v>
      </c>
      <c r="Z56" s="5">
        <v>25</v>
      </c>
      <c r="AA56" s="79">
        <v>26</v>
      </c>
      <c r="AB56" s="79">
        <v>27</v>
      </c>
      <c r="AC56" s="5">
        <v>28</v>
      </c>
      <c r="AD56" s="5">
        <v>29</v>
      </c>
      <c r="AE56" s="5">
        <v>30</v>
      </c>
      <c r="AF56" s="32"/>
    </row>
    <row r="57" spans="1:32" x14ac:dyDescent="0.25">
      <c r="A57" s="19" t="s">
        <v>8</v>
      </c>
      <c r="B57" s="59"/>
      <c r="C57" s="56"/>
      <c r="D57" s="60"/>
      <c r="E57" s="60"/>
      <c r="F57" s="56"/>
      <c r="G57" s="56"/>
      <c r="H57" s="56"/>
      <c r="I57" s="56"/>
      <c r="J57" s="68"/>
      <c r="K57" s="89"/>
      <c r="L57" s="60"/>
      <c r="M57" s="56"/>
      <c r="N57" s="56"/>
      <c r="O57" s="56"/>
      <c r="P57" s="56"/>
      <c r="Q57" s="68"/>
      <c r="R57" s="89"/>
      <c r="S57" s="60"/>
      <c r="T57" s="56"/>
      <c r="U57" s="56"/>
      <c r="V57" s="56"/>
      <c r="W57" s="56"/>
      <c r="X57" s="68"/>
      <c r="Y57" s="89"/>
      <c r="Z57" s="60"/>
      <c r="AA57" s="80"/>
      <c r="AB57" s="80"/>
      <c r="AC57" s="56"/>
      <c r="AD57" s="56"/>
      <c r="AE57" s="68"/>
      <c r="AF57" s="32"/>
    </row>
    <row r="58" spans="1:32" x14ac:dyDescent="0.25">
      <c r="A58" s="19" t="s">
        <v>1</v>
      </c>
      <c r="B58" s="62"/>
      <c r="C58" s="52">
        <v>2004</v>
      </c>
      <c r="D58" s="63"/>
      <c r="E58" s="63"/>
      <c r="F58" s="52">
        <f>C58+2004</f>
        <v>4008</v>
      </c>
      <c r="G58" s="52">
        <f>F58+2004</f>
        <v>6012</v>
      </c>
      <c r="H58" s="52">
        <f t="shared" ref="H58:J58" si="35">G58+2004</f>
        <v>8016</v>
      </c>
      <c r="I58" s="52">
        <f t="shared" si="35"/>
        <v>10020</v>
      </c>
      <c r="J58" s="52">
        <f t="shared" si="35"/>
        <v>12024</v>
      </c>
      <c r="K58" s="85"/>
      <c r="L58" s="85"/>
      <c r="M58" s="71">
        <f>J58+2004</f>
        <v>14028</v>
      </c>
      <c r="N58" s="71">
        <f>M58+2004</f>
        <v>16032</v>
      </c>
      <c r="O58" s="71">
        <f t="shared" ref="O58:Q58" si="36">N58+2004</f>
        <v>18036</v>
      </c>
      <c r="P58" s="71">
        <f t="shared" si="36"/>
        <v>20040</v>
      </c>
      <c r="Q58" s="71">
        <f t="shared" si="36"/>
        <v>22044</v>
      </c>
      <c r="R58" s="85"/>
      <c r="S58" s="85"/>
      <c r="T58" s="71">
        <f>Q58+2004</f>
        <v>24048</v>
      </c>
      <c r="U58" s="71">
        <f>T58+2004</f>
        <v>26052</v>
      </c>
      <c r="V58" s="71">
        <f t="shared" ref="V58:X58" si="37">U58+2004</f>
        <v>28056</v>
      </c>
      <c r="W58" s="71">
        <f t="shared" si="37"/>
        <v>30060</v>
      </c>
      <c r="X58" s="71">
        <f t="shared" si="37"/>
        <v>32064</v>
      </c>
      <c r="Y58" s="85"/>
      <c r="Z58" s="85"/>
      <c r="AA58" s="71">
        <f>X58+2004</f>
        <v>34068</v>
      </c>
      <c r="AB58" s="71">
        <f>AA58+2004</f>
        <v>36072</v>
      </c>
      <c r="AC58" s="71">
        <f t="shared" ref="AC58:AE58" si="38">AB58+2004</f>
        <v>38076</v>
      </c>
      <c r="AD58" s="71">
        <f t="shared" si="38"/>
        <v>40080</v>
      </c>
      <c r="AE58" s="71">
        <f t="shared" si="38"/>
        <v>42084</v>
      </c>
      <c r="AF58" s="32"/>
    </row>
    <row r="59" spans="1:32" x14ac:dyDescent="0.25">
      <c r="A59" s="19" t="s">
        <v>2</v>
      </c>
      <c r="B59" s="53"/>
      <c r="C59" s="4">
        <f>C57/C58</f>
        <v>0</v>
      </c>
      <c r="D59" s="15"/>
      <c r="E59" s="15"/>
      <c r="F59" s="4">
        <f t="shared" ref="F59:AE59" si="39">F57/F58</f>
        <v>0</v>
      </c>
      <c r="G59" s="4">
        <f t="shared" si="39"/>
        <v>0</v>
      </c>
      <c r="H59" s="4">
        <f t="shared" si="39"/>
        <v>0</v>
      </c>
      <c r="I59" s="4">
        <f t="shared" si="39"/>
        <v>0</v>
      </c>
      <c r="J59" s="4">
        <f t="shared" si="39"/>
        <v>0</v>
      </c>
      <c r="K59" s="15"/>
      <c r="L59" s="15"/>
      <c r="M59" s="4">
        <f t="shared" si="39"/>
        <v>0</v>
      </c>
      <c r="N59" s="4">
        <f t="shared" si="39"/>
        <v>0</v>
      </c>
      <c r="O59" s="4">
        <f t="shared" si="39"/>
        <v>0</v>
      </c>
      <c r="P59" s="4">
        <f t="shared" si="39"/>
        <v>0</v>
      </c>
      <c r="Q59" s="4">
        <f t="shared" si="39"/>
        <v>0</v>
      </c>
      <c r="R59" s="15"/>
      <c r="S59" s="15"/>
      <c r="T59" s="4">
        <f t="shared" si="39"/>
        <v>0</v>
      </c>
      <c r="U59" s="4">
        <f t="shared" si="39"/>
        <v>0</v>
      </c>
      <c r="V59" s="4">
        <f t="shared" si="39"/>
        <v>0</v>
      </c>
      <c r="W59" s="4">
        <f t="shared" si="39"/>
        <v>0</v>
      </c>
      <c r="X59" s="4">
        <f t="shared" si="39"/>
        <v>0</v>
      </c>
      <c r="Y59" s="15"/>
      <c r="Z59" s="15"/>
      <c r="AA59" s="4">
        <f t="shared" si="39"/>
        <v>0</v>
      </c>
      <c r="AB59" s="4">
        <f t="shared" si="39"/>
        <v>0</v>
      </c>
      <c r="AC59" s="4">
        <f t="shared" si="39"/>
        <v>0</v>
      </c>
      <c r="AD59" s="4">
        <f t="shared" si="39"/>
        <v>0</v>
      </c>
      <c r="AE59" s="4">
        <f t="shared" si="39"/>
        <v>0</v>
      </c>
      <c r="AF59" s="32"/>
    </row>
    <row r="60" spans="1:32" ht="15.75" thickBot="1" x14ac:dyDescent="0.3">
      <c r="A60" s="20"/>
      <c r="B60" s="54"/>
      <c r="C60" s="7"/>
      <c r="D60" s="16"/>
      <c r="E60" s="88"/>
      <c r="F60" s="26"/>
      <c r="G60" s="7"/>
      <c r="H60" s="7"/>
      <c r="I60" s="7"/>
      <c r="J60" s="72"/>
      <c r="K60" s="90"/>
      <c r="L60" s="16"/>
      <c r="M60" s="7"/>
      <c r="N60" s="7"/>
      <c r="O60" s="7"/>
      <c r="P60" s="7"/>
      <c r="Q60" s="72"/>
      <c r="R60" s="90"/>
      <c r="S60" s="16"/>
      <c r="T60" s="7"/>
      <c r="U60" s="7"/>
      <c r="V60" s="7"/>
      <c r="W60" s="7"/>
      <c r="X60" s="72"/>
      <c r="Y60" s="90"/>
      <c r="Z60" s="16"/>
      <c r="AA60" s="82"/>
      <c r="AB60" s="82"/>
      <c r="AC60" s="7"/>
      <c r="AD60" s="7"/>
      <c r="AE60" s="72"/>
      <c r="AF60" s="32"/>
    </row>
    <row r="61" spans="1:32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</row>
    <row r="62" spans="1:32" ht="15.75" thickBo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78"/>
      <c r="AB62" s="78"/>
      <c r="AC62" s="32"/>
      <c r="AD62" s="32"/>
      <c r="AE62" s="32"/>
      <c r="AF62" s="32"/>
    </row>
    <row r="63" spans="1:32" x14ac:dyDescent="0.25">
      <c r="A63" s="18" t="s">
        <v>40</v>
      </c>
      <c r="B63" s="5">
        <v>1</v>
      </c>
      <c r="C63" s="5">
        <v>2</v>
      </c>
      <c r="D63" s="5">
        <v>3</v>
      </c>
      <c r="E63" s="5">
        <v>4</v>
      </c>
      <c r="F63" s="5">
        <v>5</v>
      </c>
      <c r="G63" s="5">
        <v>6</v>
      </c>
      <c r="H63" s="5">
        <v>7</v>
      </c>
      <c r="I63" s="5">
        <v>8</v>
      </c>
      <c r="J63" s="5">
        <v>9</v>
      </c>
      <c r="K63" s="5">
        <v>10</v>
      </c>
      <c r="L63" s="5">
        <v>11</v>
      </c>
      <c r="M63" s="5">
        <v>12</v>
      </c>
      <c r="N63" s="5">
        <v>13</v>
      </c>
      <c r="O63" s="5">
        <v>14</v>
      </c>
      <c r="P63" s="5">
        <v>15</v>
      </c>
      <c r="Q63" s="5">
        <v>16</v>
      </c>
      <c r="R63" s="5">
        <v>17</v>
      </c>
      <c r="S63" s="5">
        <v>18</v>
      </c>
      <c r="T63" s="5">
        <v>19</v>
      </c>
      <c r="U63" s="5">
        <v>20</v>
      </c>
      <c r="V63" s="5">
        <v>21</v>
      </c>
      <c r="W63" s="5">
        <v>22</v>
      </c>
      <c r="X63" s="5">
        <v>23</v>
      </c>
      <c r="Y63" s="5">
        <v>24</v>
      </c>
      <c r="Z63" s="5">
        <v>25</v>
      </c>
      <c r="AA63" s="79">
        <v>26</v>
      </c>
      <c r="AB63" s="79">
        <v>27</v>
      </c>
      <c r="AC63" s="5">
        <v>28</v>
      </c>
      <c r="AD63" s="5">
        <v>29</v>
      </c>
      <c r="AE63" s="5">
        <v>30</v>
      </c>
    </row>
    <row r="64" spans="1:32" x14ac:dyDescent="0.25">
      <c r="A64" s="19" t="s">
        <v>8</v>
      </c>
      <c r="B64" s="59"/>
      <c r="C64" s="56"/>
      <c r="D64" s="60"/>
      <c r="E64" s="60"/>
      <c r="F64" s="56"/>
      <c r="G64" s="56"/>
      <c r="H64" s="56"/>
      <c r="I64" s="56"/>
      <c r="J64" s="68"/>
      <c r="K64" s="89"/>
      <c r="L64" s="60"/>
      <c r="M64" s="56"/>
      <c r="N64" s="56"/>
      <c r="O64" s="56"/>
      <c r="P64" s="56"/>
      <c r="Q64" s="68"/>
      <c r="R64" s="89"/>
      <c r="S64" s="60"/>
      <c r="T64" s="56"/>
      <c r="U64" s="56"/>
      <c r="V64" s="56"/>
      <c r="W64" s="56"/>
      <c r="X64" s="68"/>
      <c r="Y64" s="89"/>
      <c r="Z64" s="60"/>
      <c r="AA64" s="80"/>
      <c r="AB64" s="80"/>
      <c r="AC64" s="56"/>
      <c r="AD64" s="56"/>
      <c r="AE64" s="68"/>
    </row>
    <row r="65" spans="1:31" x14ac:dyDescent="0.25">
      <c r="A65" s="19" t="s">
        <v>1</v>
      </c>
      <c r="B65" s="62"/>
      <c r="C65" s="52">
        <v>913</v>
      </c>
      <c r="D65" s="63"/>
      <c r="E65" s="63"/>
      <c r="F65" s="52">
        <f>C65+913</f>
        <v>1826</v>
      </c>
      <c r="G65" s="52">
        <f>F65+913</f>
        <v>2739</v>
      </c>
      <c r="H65" s="52">
        <f t="shared" ref="H65:J65" si="40">G65+913</f>
        <v>3652</v>
      </c>
      <c r="I65" s="52">
        <f t="shared" si="40"/>
        <v>4565</v>
      </c>
      <c r="J65" s="52">
        <f t="shared" si="40"/>
        <v>5478</v>
      </c>
      <c r="K65" s="85"/>
      <c r="L65" s="85"/>
      <c r="M65" s="71">
        <f>J65+913</f>
        <v>6391</v>
      </c>
      <c r="N65" s="71">
        <f>M65+913</f>
        <v>7304</v>
      </c>
      <c r="O65" s="52">
        <f>N65+913</f>
        <v>8217</v>
      </c>
      <c r="P65" s="52">
        <f t="shared" ref="P65:Q65" si="41">O65+913</f>
        <v>9130</v>
      </c>
      <c r="Q65" s="52">
        <f t="shared" si="41"/>
        <v>10043</v>
      </c>
      <c r="R65" s="85"/>
      <c r="S65" s="85"/>
      <c r="T65" s="71">
        <f>Q65+913</f>
        <v>10956</v>
      </c>
      <c r="U65" s="71">
        <f>T65+913</f>
        <v>11869</v>
      </c>
      <c r="V65" s="71">
        <f t="shared" ref="V65:X65" si="42">U65+913</f>
        <v>12782</v>
      </c>
      <c r="W65" s="71">
        <f t="shared" si="42"/>
        <v>13695</v>
      </c>
      <c r="X65" s="71">
        <f t="shared" si="42"/>
        <v>14608</v>
      </c>
      <c r="Y65" s="85"/>
      <c r="Z65" s="85"/>
      <c r="AA65" s="71">
        <f>X65+913</f>
        <v>15521</v>
      </c>
      <c r="AB65" s="71">
        <f>AA65+913</f>
        <v>16434</v>
      </c>
      <c r="AC65" s="71">
        <f t="shared" ref="AC65:AE65" si="43">AB65+913</f>
        <v>17347</v>
      </c>
      <c r="AD65" s="71">
        <f t="shared" si="43"/>
        <v>18260</v>
      </c>
      <c r="AE65" s="71">
        <f t="shared" si="43"/>
        <v>19173</v>
      </c>
    </row>
    <row r="66" spans="1:31" x14ac:dyDescent="0.25">
      <c r="A66" s="19" t="s">
        <v>2</v>
      </c>
      <c r="B66" s="53"/>
      <c r="C66" s="4">
        <f>C64/C65</f>
        <v>0</v>
      </c>
      <c r="D66" s="15"/>
      <c r="E66" s="15"/>
      <c r="F66" s="4">
        <f t="shared" ref="F66:AE66" si="44">F64/F65</f>
        <v>0</v>
      </c>
      <c r="G66" s="4">
        <f t="shared" si="44"/>
        <v>0</v>
      </c>
      <c r="H66" s="4">
        <f t="shared" si="44"/>
        <v>0</v>
      </c>
      <c r="I66" s="4">
        <f t="shared" si="44"/>
        <v>0</v>
      </c>
      <c r="J66" s="4">
        <f t="shared" si="44"/>
        <v>0</v>
      </c>
      <c r="K66" s="15"/>
      <c r="L66" s="15"/>
      <c r="M66" s="4">
        <f t="shared" si="44"/>
        <v>0</v>
      </c>
      <c r="N66" s="4">
        <f t="shared" si="44"/>
        <v>0</v>
      </c>
      <c r="O66" s="4">
        <f t="shared" si="44"/>
        <v>0</v>
      </c>
      <c r="P66" s="4">
        <f t="shared" si="44"/>
        <v>0</v>
      </c>
      <c r="Q66" s="4">
        <f t="shared" si="44"/>
        <v>0</v>
      </c>
      <c r="R66" s="15"/>
      <c r="S66" s="15"/>
      <c r="T66" s="4">
        <f t="shared" si="44"/>
        <v>0</v>
      </c>
      <c r="U66" s="4">
        <f t="shared" si="44"/>
        <v>0</v>
      </c>
      <c r="V66" s="4">
        <f t="shared" si="44"/>
        <v>0</v>
      </c>
      <c r="W66" s="4">
        <f t="shared" si="44"/>
        <v>0</v>
      </c>
      <c r="X66" s="4">
        <f t="shared" si="44"/>
        <v>0</v>
      </c>
      <c r="Y66" s="15"/>
      <c r="Z66" s="15"/>
      <c r="AA66" s="4">
        <f t="shared" si="44"/>
        <v>0</v>
      </c>
      <c r="AB66" s="4">
        <f t="shared" si="44"/>
        <v>0</v>
      </c>
      <c r="AC66" s="4">
        <f t="shared" si="44"/>
        <v>0</v>
      </c>
      <c r="AD66" s="4">
        <f t="shared" si="44"/>
        <v>0</v>
      </c>
      <c r="AE66" s="4">
        <f t="shared" si="44"/>
        <v>0</v>
      </c>
    </row>
    <row r="67" spans="1:31" ht="15.75" thickBot="1" x14ac:dyDescent="0.3">
      <c r="A67" s="20"/>
      <c r="B67" s="54"/>
      <c r="C67" s="7"/>
      <c r="D67" s="16"/>
      <c r="E67" s="88"/>
      <c r="F67" s="26"/>
      <c r="G67" s="7"/>
      <c r="H67" s="7"/>
      <c r="I67" s="7"/>
      <c r="J67" s="72"/>
      <c r="K67" s="90"/>
      <c r="L67" s="16"/>
      <c r="M67" s="7"/>
      <c r="N67" s="7"/>
      <c r="O67" s="7"/>
      <c r="P67" s="7"/>
      <c r="Q67" s="72"/>
      <c r="R67" s="90"/>
      <c r="S67" s="16"/>
      <c r="T67" s="7"/>
      <c r="U67" s="7"/>
      <c r="V67" s="7"/>
      <c r="W67" s="7"/>
      <c r="X67" s="72"/>
      <c r="Y67" s="90"/>
      <c r="Z67" s="16"/>
      <c r="AA67" s="82"/>
      <c r="AB67" s="82"/>
      <c r="AC67" s="7"/>
      <c r="AD67" s="7"/>
      <c r="AE67" s="72"/>
    </row>
    <row r="69" spans="1:31" ht="15.75" thickBot="1" x14ac:dyDescent="0.3"/>
    <row r="70" spans="1:31" x14ac:dyDescent="0.25">
      <c r="A70" s="18" t="s">
        <v>41</v>
      </c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N70" s="5">
        <v>13</v>
      </c>
      <c r="O70" s="5">
        <v>14</v>
      </c>
      <c r="P70" s="5">
        <v>15</v>
      </c>
      <c r="Q70" s="5">
        <v>16</v>
      </c>
      <c r="R70" s="5">
        <v>17</v>
      </c>
      <c r="S70" s="5">
        <v>18</v>
      </c>
      <c r="T70" s="5">
        <v>19</v>
      </c>
      <c r="U70" s="5">
        <v>20</v>
      </c>
      <c r="V70" s="5">
        <v>21</v>
      </c>
      <c r="W70" s="5">
        <v>22</v>
      </c>
      <c r="X70" s="5">
        <v>23</v>
      </c>
      <c r="Y70" s="5">
        <v>24</v>
      </c>
      <c r="Z70" s="5">
        <v>25</v>
      </c>
      <c r="AA70" s="79">
        <v>26</v>
      </c>
      <c r="AB70" s="79">
        <v>27</v>
      </c>
      <c r="AC70" s="5">
        <v>28</v>
      </c>
      <c r="AD70" s="5">
        <v>29</v>
      </c>
      <c r="AE70" s="5">
        <v>30</v>
      </c>
    </row>
    <row r="71" spans="1:31" x14ac:dyDescent="0.25">
      <c r="A71" s="19" t="s">
        <v>8</v>
      </c>
      <c r="B71" s="59"/>
      <c r="C71" s="56"/>
      <c r="D71" s="60"/>
      <c r="E71" s="60"/>
      <c r="F71" s="56"/>
      <c r="G71" s="56"/>
      <c r="H71" s="56"/>
      <c r="I71" s="56"/>
      <c r="J71" s="68"/>
      <c r="K71" s="89"/>
      <c r="L71" s="60"/>
      <c r="M71" s="56"/>
      <c r="N71" s="56"/>
      <c r="O71" s="56"/>
      <c r="P71" s="56"/>
      <c r="Q71" s="68"/>
      <c r="R71" s="89"/>
      <c r="S71" s="60"/>
      <c r="T71" s="56"/>
      <c r="U71" s="56"/>
      <c r="V71" s="56"/>
      <c r="W71" s="56"/>
      <c r="X71" s="68"/>
      <c r="Y71" s="89"/>
      <c r="Z71" s="60"/>
      <c r="AA71" s="80"/>
      <c r="AB71" s="80"/>
      <c r="AC71" s="56"/>
      <c r="AD71" s="56"/>
      <c r="AE71" s="68"/>
    </row>
    <row r="72" spans="1:31" x14ac:dyDescent="0.25">
      <c r="A72" s="19" t="s">
        <v>1</v>
      </c>
      <c r="B72" s="62"/>
      <c r="C72" s="52">
        <v>861</v>
      </c>
      <c r="D72" s="63"/>
      <c r="E72" s="63"/>
      <c r="F72" s="52">
        <f>C72+861</f>
        <v>1722</v>
      </c>
      <c r="G72" s="52">
        <f>F72+861</f>
        <v>2583</v>
      </c>
      <c r="H72" s="52">
        <f t="shared" ref="H72:J72" si="45">G72+861</f>
        <v>3444</v>
      </c>
      <c r="I72" s="52">
        <f t="shared" si="45"/>
        <v>4305</v>
      </c>
      <c r="J72" s="52">
        <f t="shared" si="45"/>
        <v>5166</v>
      </c>
      <c r="K72" s="85"/>
      <c r="L72" s="85"/>
      <c r="M72" s="71">
        <f>J72+861</f>
        <v>6027</v>
      </c>
      <c r="N72" s="71">
        <f>M72+861</f>
        <v>6888</v>
      </c>
      <c r="O72" s="71">
        <f t="shared" ref="O72:Q72" si="46">N72+861</f>
        <v>7749</v>
      </c>
      <c r="P72" s="71">
        <f t="shared" si="46"/>
        <v>8610</v>
      </c>
      <c r="Q72" s="71">
        <f t="shared" si="46"/>
        <v>9471</v>
      </c>
      <c r="R72" s="85"/>
      <c r="S72" s="85"/>
      <c r="T72" s="71">
        <f>Q72+861</f>
        <v>10332</v>
      </c>
      <c r="U72" s="71">
        <f>T72+861</f>
        <v>11193</v>
      </c>
      <c r="V72" s="71">
        <f t="shared" ref="V72:X72" si="47">U72+861</f>
        <v>12054</v>
      </c>
      <c r="W72" s="71">
        <f t="shared" si="47"/>
        <v>12915</v>
      </c>
      <c r="X72" s="71">
        <f t="shared" si="47"/>
        <v>13776</v>
      </c>
      <c r="Y72" s="85"/>
      <c r="Z72" s="85"/>
      <c r="AA72" s="71">
        <f>X72+861</f>
        <v>14637</v>
      </c>
      <c r="AB72" s="71">
        <f>AA72+861</f>
        <v>15498</v>
      </c>
      <c r="AC72" s="71">
        <f t="shared" ref="AC72:AE72" si="48">AB72+861</f>
        <v>16359</v>
      </c>
      <c r="AD72" s="71">
        <f t="shared" si="48"/>
        <v>17220</v>
      </c>
      <c r="AE72" s="71">
        <f t="shared" si="48"/>
        <v>18081</v>
      </c>
    </row>
    <row r="73" spans="1:31" x14ac:dyDescent="0.25">
      <c r="A73" s="19" t="s">
        <v>2</v>
      </c>
      <c r="B73" s="53"/>
      <c r="C73" s="4">
        <f>C71/C72</f>
        <v>0</v>
      </c>
      <c r="D73" s="15"/>
      <c r="E73" s="15"/>
      <c r="F73" s="4">
        <f t="shared" ref="F73:AE73" si="49">F71/F72</f>
        <v>0</v>
      </c>
      <c r="G73" s="4">
        <f t="shared" si="49"/>
        <v>0</v>
      </c>
      <c r="H73" s="4">
        <f t="shared" si="49"/>
        <v>0</v>
      </c>
      <c r="I73" s="4">
        <f t="shared" si="49"/>
        <v>0</v>
      </c>
      <c r="J73" s="4">
        <f t="shared" si="49"/>
        <v>0</v>
      </c>
      <c r="K73" s="15"/>
      <c r="L73" s="15"/>
      <c r="M73" s="4">
        <f t="shared" si="49"/>
        <v>0</v>
      </c>
      <c r="N73" s="4">
        <f t="shared" si="49"/>
        <v>0</v>
      </c>
      <c r="O73" s="4">
        <f t="shared" si="49"/>
        <v>0</v>
      </c>
      <c r="P73" s="4">
        <f t="shared" si="49"/>
        <v>0</v>
      </c>
      <c r="Q73" s="4">
        <f t="shared" si="49"/>
        <v>0</v>
      </c>
      <c r="R73" s="15"/>
      <c r="S73" s="15"/>
      <c r="T73" s="4">
        <f t="shared" si="49"/>
        <v>0</v>
      </c>
      <c r="U73" s="4">
        <f t="shared" si="49"/>
        <v>0</v>
      </c>
      <c r="V73" s="4">
        <f t="shared" si="49"/>
        <v>0</v>
      </c>
      <c r="W73" s="4">
        <f t="shared" si="49"/>
        <v>0</v>
      </c>
      <c r="X73" s="4">
        <f t="shared" si="49"/>
        <v>0</v>
      </c>
      <c r="Y73" s="15"/>
      <c r="Z73" s="15"/>
      <c r="AA73" s="4">
        <f t="shared" si="49"/>
        <v>0</v>
      </c>
      <c r="AB73" s="4">
        <f t="shared" si="49"/>
        <v>0</v>
      </c>
      <c r="AC73" s="4">
        <f t="shared" si="49"/>
        <v>0</v>
      </c>
      <c r="AD73" s="4">
        <f t="shared" si="49"/>
        <v>0</v>
      </c>
      <c r="AE73" s="4">
        <f t="shared" si="49"/>
        <v>0</v>
      </c>
    </row>
    <row r="74" spans="1:31" ht="15.75" thickBot="1" x14ac:dyDescent="0.3">
      <c r="A74" s="20"/>
      <c r="B74" s="54"/>
      <c r="C74" s="7"/>
      <c r="D74" s="16"/>
      <c r="E74" s="88"/>
      <c r="F74" s="26"/>
      <c r="G74" s="7"/>
      <c r="H74" s="7"/>
      <c r="I74" s="7"/>
      <c r="J74" s="72"/>
      <c r="K74" s="90"/>
      <c r="L74" s="16"/>
      <c r="M74" s="7"/>
      <c r="N74" s="7"/>
      <c r="O74" s="7"/>
      <c r="P74" s="7"/>
      <c r="Q74" s="72"/>
      <c r="R74" s="90"/>
      <c r="S74" s="16"/>
      <c r="T74" s="7"/>
      <c r="U74" s="7"/>
      <c r="V74" s="7"/>
      <c r="W74" s="7"/>
      <c r="X74" s="72"/>
      <c r="Y74" s="90"/>
      <c r="Z74" s="16"/>
      <c r="AA74" s="82"/>
      <c r="AB74" s="82"/>
      <c r="AC74" s="7"/>
      <c r="AD74" s="7"/>
      <c r="AE74" s="72"/>
    </row>
  </sheetData>
  <mergeCells count="1">
    <mergeCell ref="C1:W1"/>
  </mergeCells>
  <pageMargins left="0.7" right="0.7" top="0.75" bottom="0.75" header="0.3" footer="0.3"/>
  <pageSetup paperSize="9" orientation="portrait" horizontalDpi="4294967292" vertic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74"/>
  <sheetViews>
    <sheetView topLeftCell="A3" zoomScale="60" zoomScaleNormal="60" workbookViewId="0">
      <selection activeCell="AH34" sqref="AH34"/>
    </sheetView>
  </sheetViews>
  <sheetFormatPr baseColWidth="10" defaultRowHeight="15" x14ac:dyDescent="0.25"/>
  <cols>
    <col min="1" max="1" width="56.7109375" customWidth="1"/>
    <col min="2" max="24" width="8.7109375" customWidth="1"/>
    <col min="25" max="25" width="11.5703125" bestFit="1" customWidth="1"/>
    <col min="26" max="26" width="8.7109375" customWidth="1"/>
    <col min="27" max="28" width="11" style="39" bestFit="1" customWidth="1"/>
    <col min="29" max="29" width="11.5703125" bestFit="1" customWidth="1"/>
    <col min="30" max="30" width="8.7109375" customWidth="1"/>
    <col min="31" max="31" width="10.140625" bestFit="1" customWidth="1"/>
    <col min="32" max="32" width="10.7109375" bestFit="1" customWidth="1"/>
    <col min="33" max="33" width="16.28515625" customWidth="1"/>
  </cols>
  <sheetData>
    <row r="1" spans="1:37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spans="1:37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78"/>
      <c r="AB2" s="78"/>
      <c r="AC2" s="32"/>
      <c r="AD2" s="32"/>
      <c r="AE2" s="32"/>
      <c r="AF2" s="32"/>
      <c r="AG2" s="32"/>
    </row>
    <row r="3" spans="1:3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78"/>
      <c r="AB3" s="78"/>
      <c r="AC3" s="32"/>
      <c r="AD3" s="32"/>
      <c r="AE3" s="32"/>
      <c r="AF3" s="32"/>
      <c r="AG3" s="32">
        <f>20</f>
        <v>20</v>
      </c>
    </row>
    <row r="4" spans="1:37" ht="13.5" customHeight="1" x14ac:dyDescent="0.3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78"/>
      <c r="AB4" s="78"/>
      <c r="AC4" s="32"/>
      <c r="AD4" s="32"/>
      <c r="AE4" s="32"/>
      <c r="AF4" s="32"/>
      <c r="AG4" s="32"/>
    </row>
    <row r="5" spans="1:37" hidden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>
        <v>5188</v>
      </c>
      <c r="T5" s="32"/>
      <c r="U5" s="32"/>
      <c r="V5" s="32"/>
      <c r="W5" s="32"/>
      <c r="X5" s="32"/>
      <c r="Y5" s="32"/>
      <c r="Z5" s="32"/>
      <c r="AA5" s="78"/>
      <c r="AB5" s="78"/>
      <c r="AC5" s="32"/>
      <c r="AD5" s="32"/>
      <c r="AE5" s="32"/>
      <c r="AF5" s="32"/>
      <c r="AG5" s="32"/>
    </row>
    <row r="6" spans="1:37" ht="15.75" thickBot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78"/>
      <c r="AB6" s="78"/>
      <c r="AC6" s="32"/>
      <c r="AD6" s="32"/>
      <c r="AE6" s="32"/>
      <c r="AF6" s="32"/>
      <c r="AG6" s="57"/>
      <c r="AH6" s="8"/>
      <c r="AI6" s="8"/>
      <c r="AJ6" s="8"/>
      <c r="AK6" s="8"/>
    </row>
    <row r="7" spans="1:37" x14ac:dyDescent="0.25">
      <c r="A7" s="18" t="s">
        <v>43</v>
      </c>
      <c r="B7" s="5">
        <v>1</v>
      </c>
      <c r="C7" s="5">
        <v>2</v>
      </c>
      <c r="D7" s="5">
        <v>3</v>
      </c>
      <c r="E7" s="5">
        <v>4</v>
      </c>
      <c r="F7" s="5">
        <v>5</v>
      </c>
      <c r="G7" s="5">
        <v>6</v>
      </c>
      <c r="H7" s="5">
        <v>7</v>
      </c>
      <c r="I7" s="5">
        <v>8</v>
      </c>
      <c r="J7" s="5">
        <v>9</v>
      </c>
      <c r="K7" s="5">
        <v>10</v>
      </c>
      <c r="L7" s="5">
        <v>11</v>
      </c>
      <c r="M7" s="5">
        <v>12</v>
      </c>
      <c r="N7" s="5">
        <v>13</v>
      </c>
      <c r="O7" s="5">
        <v>14</v>
      </c>
      <c r="P7" s="5">
        <v>15</v>
      </c>
      <c r="Q7" s="5">
        <v>16</v>
      </c>
      <c r="R7" s="5">
        <v>17</v>
      </c>
      <c r="S7" s="5">
        <v>18</v>
      </c>
      <c r="T7" s="5">
        <v>19</v>
      </c>
      <c r="U7" s="5">
        <v>20</v>
      </c>
      <c r="V7" s="5">
        <v>21</v>
      </c>
      <c r="W7" s="5">
        <v>22</v>
      </c>
      <c r="X7" s="5">
        <v>23</v>
      </c>
      <c r="Y7" s="5">
        <v>24</v>
      </c>
      <c r="Z7" s="5">
        <v>25</v>
      </c>
      <c r="AA7" s="79">
        <v>26</v>
      </c>
      <c r="AB7" s="79">
        <v>27</v>
      </c>
      <c r="AC7" s="5">
        <v>28</v>
      </c>
      <c r="AD7" s="5">
        <v>29</v>
      </c>
      <c r="AE7" s="5">
        <v>30</v>
      </c>
      <c r="AF7" s="6">
        <v>31</v>
      </c>
      <c r="AG7" s="67"/>
      <c r="AH7" s="27"/>
      <c r="AI7" s="9"/>
      <c r="AJ7" s="27"/>
      <c r="AK7" s="9"/>
    </row>
    <row r="8" spans="1:37" x14ac:dyDescent="0.25">
      <c r="A8" s="19" t="s">
        <v>8</v>
      </c>
      <c r="B8" s="60"/>
      <c r="C8" s="60"/>
      <c r="D8" s="56"/>
      <c r="E8" s="56"/>
      <c r="F8" s="56"/>
      <c r="G8" s="56"/>
      <c r="H8" s="56"/>
      <c r="I8" s="60"/>
      <c r="J8" s="61"/>
      <c r="K8" s="69"/>
      <c r="L8" s="56"/>
      <c r="M8" s="56"/>
      <c r="N8" s="56"/>
      <c r="O8" s="56"/>
      <c r="P8" s="60"/>
      <c r="Q8" s="61"/>
      <c r="R8" s="69"/>
      <c r="S8" s="56"/>
      <c r="T8" s="56"/>
      <c r="U8" s="56"/>
      <c r="V8" s="56"/>
      <c r="W8" s="60"/>
      <c r="X8" s="61"/>
      <c r="Y8" s="69"/>
      <c r="Z8" s="59"/>
      <c r="AA8" s="80"/>
      <c r="AB8" s="80"/>
      <c r="AC8" s="56"/>
      <c r="AD8" s="60"/>
      <c r="AE8" s="61"/>
      <c r="AF8" s="69"/>
      <c r="AG8" s="58"/>
      <c r="AH8" s="2"/>
      <c r="AI8" s="2"/>
      <c r="AJ8" s="2"/>
      <c r="AK8" s="10"/>
    </row>
    <row r="9" spans="1:37" x14ac:dyDescent="0.25">
      <c r="A9" s="19" t="s">
        <v>1</v>
      </c>
      <c r="B9" s="63"/>
      <c r="C9" s="63"/>
      <c r="D9" s="52">
        <v>5856</v>
      </c>
      <c r="E9" s="52">
        <f>D9+5856</f>
        <v>11712</v>
      </c>
      <c r="F9" s="52">
        <f t="shared" ref="F9:H9" si="0">E9+5856</f>
        <v>17568</v>
      </c>
      <c r="G9" s="52">
        <f t="shared" si="0"/>
        <v>23424</v>
      </c>
      <c r="H9" s="52">
        <f t="shared" si="0"/>
        <v>29280</v>
      </c>
      <c r="I9" s="63"/>
      <c r="J9" s="64"/>
      <c r="K9" s="71">
        <f>H9+5856</f>
        <v>35136</v>
      </c>
      <c r="L9" s="71">
        <f>K9+5856</f>
        <v>40992</v>
      </c>
      <c r="M9" s="71">
        <f t="shared" ref="M9:O9" si="1">L9+5856</f>
        <v>46848</v>
      </c>
      <c r="N9" s="71">
        <f t="shared" si="1"/>
        <v>52704</v>
      </c>
      <c r="O9" s="71">
        <f t="shared" si="1"/>
        <v>58560</v>
      </c>
      <c r="P9" s="63"/>
      <c r="Q9" s="64"/>
      <c r="R9" s="71">
        <f>O9+5856</f>
        <v>64416</v>
      </c>
      <c r="S9" s="71">
        <f>R9+5856</f>
        <v>70272</v>
      </c>
      <c r="T9" s="71">
        <f t="shared" ref="T9:V9" si="2">S9+5856</f>
        <v>76128</v>
      </c>
      <c r="U9" s="71">
        <f t="shared" si="2"/>
        <v>81984</v>
      </c>
      <c r="V9" s="71">
        <f t="shared" si="2"/>
        <v>87840</v>
      </c>
      <c r="W9" s="63"/>
      <c r="X9" s="64"/>
      <c r="Y9" s="71">
        <f>V9+5856</f>
        <v>93696</v>
      </c>
      <c r="Z9" s="62"/>
      <c r="AA9" s="71">
        <f>Y9+5856</f>
        <v>99552</v>
      </c>
      <c r="AB9" s="71">
        <f>AA9+5856</f>
        <v>105408</v>
      </c>
      <c r="AC9" s="71">
        <f>AB9+5856</f>
        <v>111264</v>
      </c>
      <c r="AD9" s="63"/>
      <c r="AE9" s="91"/>
      <c r="AF9" s="81">
        <f>AC9+5856</f>
        <v>117120</v>
      </c>
      <c r="AG9" s="58"/>
      <c r="AH9" s="2"/>
      <c r="AI9" s="2"/>
      <c r="AJ9" s="2"/>
      <c r="AK9" s="2"/>
    </row>
    <row r="10" spans="1:37" x14ac:dyDescent="0.25">
      <c r="A10" s="19" t="s">
        <v>2</v>
      </c>
      <c r="B10" s="15"/>
      <c r="C10" s="15"/>
      <c r="D10" s="4">
        <f>D8/D9</f>
        <v>0</v>
      </c>
      <c r="E10" s="4">
        <f t="shared" ref="E10:AF10" si="3">E8/E9</f>
        <v>0</v>
      </c>
      <c r="F10" s="4">
        <f t="shared" si="3"/>
        <v>0</v>
      </c>
      <c r="G10" s="4">
        <f t="shared" si="3"/>
        <v>0</v>
      </c>
      <c r="H10" s="4">
        <f t="shared" si="3"/>
        <v>0</v>
      </c>
      <c r="I10" s="63"/>
      <c r="J10" s="64"/>
      <c r="K10" s="4">
        <f t="shared" si="3"/>
        <v>0</v>
      </c>
      <c r="L10" s="4">
        <f t="shared" si="3"/>
        <v>0</v>
      </c>
      <c r="M10" s="4">
        <f t="shared" si="3"/>
        <v>0</v>
      </c>
      <c r="N10" s="4">
        <f t="shared" si="3"/>
        <v>0</v>
      </c>
      <c r="O10" s="4">
        <f t="shared" si="3"/>
        <v>0</v>
      </c>
      <c r="P10" s="15"/>
      <c r="Q10" s="15"/>
      <c r="R10" s="4">
        <f t="shared" si="3"/>
        <v>0</v>
      </c>
      <c r="S10" s="4">
        <f t="shared" si="3"/>
        <v>0</v>
      </c>
      <c r="T10" s="4">
        <f t="shared" si="3"/>
        <v>0</v>
      </c>
      <c r="U10" s="4">
        <f t="shared" si="3"/>
        <v>0</v>
      </c>
      <c r="V10" s="4">
        <f t="shared" si="3"/>
        <v>0</v>
      </c>
      <c r="W10" s="63"/>
      <c r="X10" s="64"/>
      <c r="Y10" s="4">
        <f t="shared" si="3"/>
        <v>0</v>
      </c>
      <c r="Z10" s="53"/>
      <c r="AA10" s="4">
        <f t="shared" si="3"/>
        <v>0</v>
      </c>
      <c r="AB10" s="4">
        <f t="shared" si="3"/>
        <v>0</v>
      </c>
      <c r="AC10" s="4">
        <f t="shared" si="3"/>
        <v>0</v>
      </c>
      <c r="AD10" s="15"/>
      <c r="AE10" s="15"/>
      <c r="AF10" s="4">
        <f t="shared" si="3"/>
        <v>0</v>
      </c>
      <c r="AG10" s="11"/>
      <c r="AH10" s="11"/>
      <c r="AI10" s="11"/>
      <c r="AJ10" s="11"/>
      <c r="AK10" s="11"/>
    </row>
    <row r="11" spans="1:37" ht="15.75" thickBot="1" x14ac:dyDescent="0.3">
      <c r="A11" s="20"/>
      <c r="B11" s="16"/>
      <c r="C11" s="16"/>
      <c r="D11" s="7"/>
      <c r="E11" s="26"/>
      <c r="F11" s="26"/>
      <c r="G11" s="7"/>
      <c r="H11" s="7"/>
      <c r="I11" s="16"/>
      <c r="J11" s="55"/>
      <c r="K11" s="73"/>
      <c r="L11" s="7"/>
      <c r="M11" s="7"/>
      <c r="N11" s="7"/>
      <c r="O11" s="7"/>
      <c r="P11" s="16"/>
      <c r="Q11" s="55"/>
      <c r="R11" s="73"/>
      <c r="S11" s="7"/>
      <c r="T11" s="7"/>
      <c r="U11" s="7"/>
      <c r="V11" s="7"/>
      <c r="W11" s="16"/>
      <c r="X11" s="55"/>
      <c r="Y11" s="73"/>
      <c r="Z11" s="54"/>
      <c r="AA11" s="82"/>
      <c r="AB11" s="82"/>
      <c r="AC11" s="7"/>
      <c r="AD11" s="16"/>
      <c r="AE11" s="55"/>
      <c r="AF11" s="73"/>
      <c r="AG11" s="11"/>
      <c r="AH11" s="11"/>
      <c r="AI11" s="11"/>
      <c r="AJ11" s="11"/>
      <c r="AK11" s="11"/>
    </row>
    <row r="12" spans="1:37" x14ac:dyDescent="0.25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57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11"/>
      <c r="AA12" s="78"/>
      <c r="AB12" s="78"/>
      <c r="AC12" s="32"/>
      <c r="AD12" s="32"/>
      <c r="AE12" s="32"/>
      <c r="AF12" s="32"/>
      <c r="AG12" s="32"/>
    </row>
    <row r="13" spans="1:37" ht="15.75" thickBo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57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11"/>
      <c r="AA13" s="78"/>
      <c r="AB13" s="78"/>
      <c r="AC13" s="32"/>
      <c r="AD13" s="32"/>
      <c r="AE13" s="32"/>
      <c r="AF13" s="32"/>
      <c r="AG13" s="32"/>
    </row>
    <row r="14" spans="1:37" x14ac:dyDescent="0.25">
      <c r="A14" s="18" t="s">
        <v>42</v>
      </c>
      <c r="B14" s="5">
        <v>1</v>
      </c>
      <c r="C14" s="5">
        <v>2</v>
      </c>
      <c r="D14" s="5">
        <v>3</v>
      </c>
      <c r="E14" s="5">
        <v>4</v>
      </c>
      <c r="F14" s="5">
        <v>5</v>
      </c>
      <c r="G14" s="5">
        <v>6</v>
      </c>
      <c r="H14" s="5">
        <v>7</v>
      </c>
      <c r="I14" s="5">
        <v>8</v>
      </c>
      <c r="J14" s="5">
        <v>9</v>
      </c>
      <c r="K14" s="5">
        <v>10</v>
      </c>
      <c r="L14" s="5">
        <v>11</v>
      </c>
      <c r="M14" s="5">
        <v>12</v>
      </c>
      <c r="N14" s="5">
        <v>13</v>
      </c>
      <c r="O14" s="5">
        <v>14</v>
      </c>
      <c r="P14" s="5">
        <v>15</v>
      </c>
      <c r="Q14" s="5">
        <v>16</v>
      </c>
      <c r="R14" s="5">
        <v>17</v>
      </c>
      <c r="S14" s="5">
        <v>18</v>
      </c>
      <c r="T14" s="5">
        <v>19</v>
      </c>
      <c r="U14" s="5">
        <v>20</v>
      </c>
      <c r="V14" s="5">
        <v>21</v>
      </c>
      <c r="W14" s="5">
        <v>22</v>
      </c>
      <c r="X14" s="5">
        <v>23</v>
      </c>
      <c r="Y14" s="5">
        <v>24</v>
      </c>
      <c r="Z14" s="5">
        <v>25</v>
      </c>
      <c r="AA14" s="79">
        <v>26</v>
      </c>
      <c r="AB14" s="79">
        <v>27</v>
      </c>
      <c r="AC14" s="5">
        <v>28</v>
      </c>
      <c r="AD14" s="5">
        <v>29</v>
      </c>
      <c r="AE14" s="5">
        <v>30</v>
      </c>
      <c r="AF14" s="6">
        <v>31</v>
      </c>
      <c r="AG14" s="32"/>
    </row>
    <row r="15" spans="1:37" x14ac:dyDescent="0.25">
      <c r="A15" s="19" t="s">
        <v>8</v>
      </c>
      <c r="B15" s="60"/>
      <c r="C15" s="60"/>
      <c r="D15" s="56"/>
      <c r="E15" s="56"/>
      <c r="F15" s="56"/>
      <c r="G15" s="56"/>
      <c r="H15" s="56"/>
      <c r="I15" s="60"/>
      <c r="J15" s="61"/>
      <c r="K15" s="69"/>
      <c r="L15" s="56"/>
      <c r="M15" s="56"/>
      <c r="N15" s="56"/>
      <c r="O15" s="56"/>
      <c r="P15" s="60"/>
      <c r="Q15" s="61"/>
      <c r="R15" s="69"/>
      <c r="S15" s="56"/>
      <c r="T15" s="56"/>
      <c r="U15" s="56"/>
      <c r="V15" s="56"/>
      <c r="W15" s="60"/>
      <c r="X15" s="61"/>
      <c r="Y15" s="69"/>
      <c r="Z15" s="59"/>
      <c r="AA15" s="80"/>
      <c r="AB15" s="80"/>
      <c r="AC15" s="56"/>
      <c r="AD15" s="60"/>
      <c r="AE15" s="61"/>
      <c r="AF15" s="69"/>
      <c r="AG15" s="32"/>
    </row>
    <row r="16" spans="1:37" x14ac:dyDescent="0.25">
      <c r="A16" s="19" t="s">
        <v>1</v>
      </c>
      <c r="B16" s="63"/>
      <c r="C16" s="63"/>
      <c r="D16" s="52">
        <v>792</v>
      </c>
      <c r="E16" s="52">
        <f>D16+792</f>
        <v>1584</v>
      </c>
      <c r="F16" s="52">
        <f>E16+792</f>
        <v>2376</v>
      </c>
      <c r="G16" s="52">
        <f t="shared" ref="G16:H16" si="4">F16+792</f>
        <v>3168</v>
      </c>
      <c r="H16" s="52">
        <f t="shared" si="4"/>
        <v>3960</v>
      </c>
      <c r="I16" s="63"/>
      <c r="J16" s="64"/>
      <c r="K16" s="71">
        <f>H16+792</f>
        <v>4752</v>
      </c>
      <c r="L16" s="71">
        <f>K16+792</f>
        <v>5544</v>
      </c>
      <c r="M16" s="71">
        <f t="shared" ref="M16:O16" si="5">L16+792</f>
        <v>6336</v>
      </c>
      <c r="N16" s="71">
        <f t="shared" si="5"/>
        <v>7128</v>
      </c>
      <c r="O16" s="71">
        <f t="shared" si="5"/>
        <v>7920</v>
      </c>
      <c r="P16" s="63"/>
      <c r="Q16" s="64"/>
      <c r="R16" s="71">
        <f>O16+792</f>
        <v>8712</v>
      </c>
      <c r="S16" s="71">
        <f>R16+792</f>
        <v>9504</v>
      </c>
      <c r="T16" s="71">
        <f t="shared" ref="T16:V16" si="6">S16+792</f>
        <v>10296</v>
      </c>
      <c r="U16" s="71">
        <f t="shared" si="6"/>
        <v>11088</v>
      </c>
      <c r="V16" s="71">
        <f t="shared" si="6"/>
        <v>11880</v>
      </c>
      <c r="W16" s="63"/>
      <c r="X16" s="64"/>
      <c r="Y16" s="71">
        <f>V16+792</f>
        <v>12672</v>
      </c>
      <c r="Z16" s="62"/>
      <c r="AA16" s="71">
        <f>Y16+792</f>
        <v>13464</v>
      </c>
      <c r="AB16" s="71">
        <f>AA16+792</f>
        <v>14256</v>
      </c>
      <c r="AC16" s="71">
        <f>AB16+792</f>
        <v>15048</v>
      </c>
      <c r="AD16" s="63"/>
      <c r="AE16" s="91"/>
      <c r="AF16" s="81">
        <f>AC16+792</f>
        <v>15840</v>
      </c>
      <c r="AG16" s="32"/>
    </row>
    <row r="17" spans="1:34" x14ac:dyDescent="0.25">
      <c r="A17" s="19" t="s">
        <v>2</v>
      </c>
      <c r="B17" s="15"/>
      <c r="C17" s="15"/>
      <c r="D17" s="4">
        <f>D15/D16</f>
        <v>0</v>
      </c>
      <c r="E17" s="4">
        <f t="shared" ref="E17:AF17" si="7">E15/E16</f>
        <v>0</v>
      </c>
      <c r="F17" s="4">
        <f t="shared" si="7"/>
        <v>0</v>
      </c>
      <c r="G17" s="4">
        <f t="shared" si="7"/>
        <v>0</v>
      </c>
      <c r="H17" s="4">
        <f t="shared" si="7"/>
        <v>0</v>
      </c>
      <c r="I17" s="15"/>
      <c r="J17" s="15"/>
      <c r="K17" s="4">
        <f t="shared" si="7"/>
        <v>0</v>
      </c>
      <c r="L17" s="4">
        <f t="shared" si="7"/>
        <v>0</v>
      </c>
      <c r="M17" s="4">
        <f t="shared" si="7"/>
        <v>0</v>
      </c>
      <c r="N17" s="4">
        <f t="shared" si="7"/>
        <v>0</v>
      </c>
      <c r="O17" s="4">
        <f t="shared" si="7"/>
        <v>0</v>
      </c>
      <c r="P17" s="15"/>
      <c r="Q17" s="15"/>
      <c r="R17" s="4">
        <f t="shared" si="7"/>
        <v>0</v>
      </c>
      <c r="S17" s="4">
        <f t="shared" si="7"/>
        <v>0</v>
      </c>
      <c r="T17" s="4">
        <f t="shared" si="7"/>
        <v>0</v>
      </c>
      <c r="U17" s="4">
        <f t="shared" si="7"/>
        <v>0</v>
      </c>
      <c r="V17" s="4">
        <f t="shared" si="7"/>
        <v>0</v>
      </c>
      <c r="W17" s="15"/>
      <c r="X17" s="15"/>
      <c r="Y17" s="4">
        <f t="shared" si="7"/>
        <v>0</v>
      </c>
      <c r="Z17" s="53"/>
      <c r="AA17" s="4">
        <f t="shared" si="7"/>
        <v>0</v>
      </c>
      <c r="AB17" s="4">
        <f t="shared" si="7"/>
        <v>0</v>
      </c>
      <c r="AC17" s="4">
        <f t="shared" si="7"/>
        <v>0</v>
      </c>
      <c r="AD17" s="15"/>
      <c r="AE17" s="15"/>
      <c r="AF17" s="4">
        <f t="shared" si="7"/>
        <v>0</v>
      </c>
      <c r="AG17" s="32"/>
    </row>
    <row r="18" spans="1:34" ht="15.75" thickBot="1" x14ac:dyDescent="0.3">
      <c r="A18" s="20"/>
      <c r="B18" s="16"/>
      <c r="C18" s="16"/>
      <c r="D18" s="7"/>
      <c r="E18" s="26"/>
      <c r="F18" s="26"/>
      <c r="G18" s="7"/>
      <c r="H18" s="7"/>
      <c r="I18" s="16"/>
      <c r="J18" s="55"/>
      <c r="K18" s="73"/>
      <c r="L18" s="7"/>
      <c r="M18" s="7"/>
      <c r="N18" s="7"/>
      <c r="O18" s="7"/>
      <c r="P18" s="16"/>
      <c r="Q18" s="55"/>
      <c r="R18" s="73"/>
      <c r="S18" s="7"/>
      <c r="T18" s="7"/>
      <c r="U18" s="7"/>
      <c r="V18" s="7"/>
      <c r="W18" s="16"/>
      <c r="X18" s="55"/>
      <c r="Y18" s="73"/>
      <c r="Z18" s="54"/>
      <c r="AA18" s="82"/>
      <c r="AB18" s="82"/>
      <c r="AC18" s="7"/>
      <c r="AD18" s="16"/>
      <c r="AE18" s="55"/>
      <c r="AF18" s="73"/>
      <c r="AG18" s="32"/>
      <c r="AH18">
        <f>AG3+'Novembre 2018'!AF3+'Octobre 2018'!AH3+'Septembre 2018'!AG3+'Aout 2018'!AG4+'Juillet 2018'!AH4+'Juin 2018'!AG3+'Mai 2018'!AG3+'Avril 2018'!AG4+'Mars 2018'!AH4+'Février 2018'!AE4+'Janvier 2018'!AH3</f>
        <v>252</v>
      </c>
    </row>
    <row r="19" spans="1:34" x14ac:dyDescent="0.25">
      <c r="A19" s="13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57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11"/>
      <c r="AA19" s="78"/>
      <c r="AB19" s="78"/>
      <c r="AC19" s="32"/>
      <c r="AD19" s="32"/>
      <c r="AE19" s="32"/>
      <c r="AF19" s="32"/>
      <c r="AG19" s="32"/>
    </row>
    <row r="20" spans="1:34" ht="15.75" thickBot="1" x14ac:dyDescent="0.3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14"/>
      <c r="AA20" s="78"/>
      <c r="AB20" s="78"/>
      <c r="AC20" s="32"/>
      <c r="AD20" s="32"/>
      <c r="AE20" s="32"/>
      <c r="AF20" s="32"/>
      <c r="AG20" s="32"/>
    </row>
    <row r="21" spans="1:34" x14ac:dyDescent="0.25">
      <c r="A21" s="18" t="s">
        <v>3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  <c r="N21" s="5">
        <v>13</v>
      </c>
      <c r="O21" s="5">
        <v>14</v>
      </c>
      <c r="P21" s="5">
        <v>15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V21" s="5">
        <v>21</v>
      </c>
      <c r="W21" s="5">
        <v>22</v>
      </c>
      <c r="X21" s="5">
        <v>23</v>
      </c>
      <c r="Y21" s="5">
        <v>24</v>
      </c>
      <c r="Z21" s="5">
        <v>25</v>
      </c>
      <c r="AA21" s="79">
        <v>26</v>
      </c>
      <c r="AB21" s="79">
        <v>27</v>
      </c>
      <c r="AC21" s="5">
        <v>28</v>
      </c>
      <c r="AD21" s="5">
        <v>29</v>
      </c>
      <c r="AE21" s="5">
        <v>30</v>
      </c>
      <c r="AF21" s="6">
        <v>31</v>
      </c>
      <c r="AG21" s="32"/>
      <c r="AH21">
        <f>AH18-5-14</f>
        <v>233</v>
      </c>
    </row>
    <row r="22" spans="1:34" x14ac:dyDescent="0.25">
      <c r="A22" s="19" t="s">
        <v>8</v>
      </c>
      <c r="B22" s="60"/>
      <c r="C22" s="60"/>
      <c r="D22" s="56"/>
      <c r="E22" s="56"/>
      <c r="F22" s="56"/>
      <c r="G22" s="56"/>
      <c r="H22" s="56"/>
      <c r="I22" s="60"/>
      <c r="J22" s="61"/>
      <c r="K22" s="69"/>
      <c r="L22" s="56"/>
      <c r="M22" s="56"/>
      <c r="N22" s="56"/>
      <c r="O22" s="56"/>
      <c r="P22" s="60"/>
      <c r="Q22" s="61"/>
      <c r="R22" s="69"/>
      <c r="S22" s="56"/>
      <c r="T22" s="56"/>
      <c r="U22" s="56"/>
      <c r="V22" s="56"/>
      <c r="W22" s="60"/>
      <c r="X22" s="61"/>
      <c r="Y22" s="69"/>
      <c r="Z22" s="59"/>
      <c r="AA22" s="80"/>
      <c r="AB22" s="80"/>
      <c r="AC22" s="56"/>
      <c r="AD22" s="60"/>
      <c r="AE22" s="61"/>
      <c r="AF22" s="69"/>
      <c r="AG22" s="32"/>
    </row>
    <row r="23" spans="1:34" x14ac:dyDescent="0.25">
      <c r="A23" s="19" t="s">
        <v>1</v>
      </c>
      <c r="B23" s="63"/>
      <c r="C23" s="63"/>
      <c r="D23" s="52">
        <v>2877</v>
      </c>
      <c r="E23" s="52">
        <f>D23+2877</f>
        <v>5754</v>
      </c>
      <c r="F23" s="52">
        <f>E23+2877</f>
        <v>8631</v>
      </c>
      <c r="G23" s="52">
        <f t="shared" ref="G23:H23" si="8">F23+2877</f>
        <v>11508</v>
      </c>
      <c r="H23" s="52">
        <f t="shared" si="8"/>
        <v>14385</v>
      </c>
      <c r="I23" s="63"/>
      <c r="J23" s="64"/>
      <c r="K23" s="71">
        <f>H23+2877</f>
        <v>17262</v>
      </c>
      <c r="L23" s="71">
        <f>K23+2877</f>
        <v>20139</v>
      </c>
      <c r="M23" s="71">
        <f t="shared" ref="M23:O23" si="9">L23+2877</f>
        <v>23016</v>
      </c>
      <c r="N23" s="71">
        <f t="shared" si="9"/>
        <v>25893</v>
      </c>
      <c r="O23" s="71">
        <f t="shared" si="9"/>
        <v>28770</v>
      </c>
      <c r="P23" s="63"/>
      <c r="Q23" s="64"/>
      <c r="R23" s="71">
        <f>O23+2877</f>
        <v>31647</v>
      </c>
      <c r="S23" s="71">
        <f>R23+2877</f>
        <v>34524</v>
      </c>
      <c r="T23" s="71">
        <f t="shared" ref="T23:V23" si="10">S23+2877</f>
        <v>37401</v>
      </c>
      <c r="U23" s="71">
        <f t="shared" si="10"/>
        <v>40278</v>
      </c>
      <c r="V23" s="71">
        <f t="shared" si="10"/>
        <v>43155</v>
      </c>
      <c r="W23" s="63"/>
      <c r="X23" s="64"/>
      <c r="Y23" s="71">
        <f>V23+2877</f>
        <v>46032</v>
      </c>
      <c r="Z23" s="62"/>
      <c r="AA23" s="71">
        <f>Y23+2877</f>
        <v>48909</v>
      </c>
      <c r="AB23" s="71">
        <f>AA23+2877</f>
        <v>51786</v>
      </c>
      <c r="AC23" s="71">
        <f>AB23+2877</f>
        <v>54663</v>
      </c>
      <c r="AD23" s="63"/>
      <c r="AE23" s="91"/>
      <c r="AF23" s="81">
        <f>AC23+2877</f>
        <v>57540</v>
      </c>
      <c r="AG23" s="32"/>
    </row>
    <row r="24" spans="1:34" x14ac:dyDescent="0.25">
      <c r="A24" s="19" t="s">
        <v>2</v>
      </c>
      <c r="B24" s="15"/>
      <c r="C24" s="15"/>
      <c r="D24" s="4">
        <f>D22/D23</f>
        <v>0</v>
      </c>
      <c r="E24" s="4">
        <f t="shared" ref="E24:AF24" si="11">E22/E23</f>
        <v>0</v>
      </c>
      <c r="F24" s="4">
        <f t="shared" si="11"/>
        <v>0</v>
      </c>
      <c r="G24" s="4">
        <f t="shared" si="11"/>
        <v>0</v>
      </c>
      <c r="H24" s="4">
        <f t="shared" si="11"/>
        <v>0</v>
      </c>
      <c r="I24" s="15"/>
      <c r="J24" s="15"/>
      <c r="K24" s="4">
        <f t="shared" si="11"/>
        <v>0</v>
      </c>
      <c r="L24" s="4">
        <f t="shared" si="11"/>
        <v>0</v>
      </c>
      <c r="M24" s="4">
        <f t="shared" si="11"/>
        <v>0</v>
      </c>
      <c r="N24" s="4">
        <f t="shared" si="11"/>
        <v>0</v>
      </c>
      <c r="O24" s="4">
        <f t="shared" si="11"/>
        <v>0</v>
      </c>
      <c r="P24" s="15"/>
      <c r="Q24" s="15"/>
      <c r="R24" s="4">
        <f t="shared" si="11"/>
        <v>0</v>
      </c>
      <c r="S24" s="4">
        <f t="shared" si="11"/>
        <v>0</v>
      </c>
      <c r="T24" s="4">
        <f t="shared" si="11"/>
        <v>0</v>
      </c>
      <c r="U24" s="4">
        <f t="shared" si="11"/>
        <v>0</v>
      </c>
      <c r="V24" s="4">
        <f t="shared" si="11"/>
        <v>0</v>
      </c>
      <c r="W24" s="15"/>
      <c r="X24" s="15"/>
      <c r="Y24" s="4">
        <f t="shared" si="11"/>
        <v>0</v>
      </c>
      <c r="Z24" s="53"/>
      <c r="AA24" s="4">
        <f t="shared" si="11"/>
        <v>0</v>
      </c>
      <c r="AB24" s="4">
        <f t="shared" si="11"/>
        <v>0</v>
      </c>
      <c r="AC24" s="4">
        <f t="shared" si="11"/>
        <v>0</v>
      </c>
      <c r="AD24" s="15"/>
      <c r="AE24" s="15"/>
      <c r="AF24" s="4">
        <f t="shared" si="11"/>
        <v>0</v>
      </c>
      <c r="AG24" s="32"/>
    </row>
    <row r="25" spans="1:34" ht="15.75" thickBot="1" x14ac:dyDescent="0.3">
      <c r="A25" s="20"/>
      <c r="B25" s="16"/>
      <c r="C25" s="16"/>
      <c r="D25" s="7"/>
      <c r="E25" s="26"/>
      <c r="F25" s="26"/>
      <c r="G25" s="7"/>
      <c r="H25" s="7"/>
      <c r="I25" s="16"/>
      <c r="J25" s="55"/>
      <c r="K25" s="73"/>
      <c r="L25" s="7"/>
      <c r="M25" s="7"/>
      <c r="N25" s="7"/>
      <c r="O25" s="7"/>
      <c r="P25" s="16"/>
      <c r="Q25" s="55"/>
      <c r="R25" s="73"/>
      <c r="S25" s="7"/>
      <c r="T25" s="7"/>
      <c r="U25" s="7"/>
      <c r="V25" s="7"/>
      <c r="W25" s="16"/>
      <c r="X25" s="55"/>
      <c r="Y25" s="73"/>
      <c r="Z25" s="54"/>
      <c r="AA25" s="82"/>
      <c r="AB25" s="82"/>
      <c r="AC25" s="7"/>
      <c r="AD25" s="16"/>
      <c r="AE25" s="55"/>
      <c r="AF25" s="73"/>
      <c r="AG25" s="32"/>
    </row>
    <row r="26" spans="1:34" x14ac:dyDescent="0.25">
      <c r="A26" s="13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58"/>
      <c r="AA26" s="78"/>
      <c r="AB26" s="78"/>
      <c r="AC26" s="32"/>
      <c r="AD26" s="32"/>
      <c r="AE26" s="32"/>
      <c r="AF26" s="32"/>
      <c r="AG26" s="32"/>
    </row>
    <row r="27" spans="1:34" ht="15.75" thickBot="1" x14ac:dyDescent="0.3">
      <c r="A27" s="13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58"/>
      <c r="AA27" s="78"/>
      <c r="AB27" s="78"/>
      <c r="AC27" s="32"/>
      <c r="AD27" s="32"/>
      <c r="AE27" s="32"/>
      <c r="AF27" s="32"/>
      <c r="AG27" s="32"/>
    </row>
    <row r="28" spans="1:34" x14ac:dyDescent="0.25">
      <c r="A28" s="18" t="s">
        <v>4</v>
      </c>
      <c r="B28" s="5">
        <v>1</v>
      </c>
      <c r="C28" s="5">
        <v>2</v>
      </c>
      <c r="D28" s="5">
        <v>3</v>
      </c>
      <c r="E28" s="5">
        <v>4</v>
      </c>
      <c r="F28" s="5">
        <v>5</v>
      </c>
      <c r="G28" s="5">
        <v>6</v>
      </c>
      <c r="H28" s="5">
        <v>7</v>
      </c>
      <c r="I28" s="5">
        <v>8</v>
      </c>
      <c r="J28" s="5">
        <v>9</v>
      </c>
      <c r="K28" s="5">
        <v>10</v>
      </c>
      <c r="L28" s="5">
        <v>11</v>
      </c>
      <c r="M28" s="5">
        <v>12</v>
      </c>
      <c r="N28" s="5">
        <v>13</v>
      </c>
      <c r="O28" s="5">
        <v>14</v>
      </c>
      <c r="P28" s="5">
        <v>15</v>
      </c>
      <c r="Q28" s="5">
        <v>16</v>
      </c>
      <c r="R28" s="5">
        <v>17</v>
      </c>
      <c r="S28" s="5">
        <v>18</v>
      </c>
      <c r="T28" s="5">
        <v>19</v>
      </c>
      <c r="U28" s="5">
        <v>20</v>
      </c>
      <c r="V28" s="5">
        <v>21</v>
      </c>
      <c r="W28" s="5">
        <v>22</v>
      </c>
      <c r="X28" s="5">
        <v>23</v>
      </c>
      <c r="Y28" s="5">
        <v>24</v>
      </c>
      <c r="Z28" s="5">
        <v>25</v>
      </c>
      <c r="AA28" s="79">
        <v>26</v>
      </c>
      <c r="AB28" s="79">
        <v>27</v>
      </c>
      <c r="AC28" s="5">
        <v>28</v>
      </c>
      <c r="AD28" s="5">
        <v>29</v>
      </c>
      <c r="AE28" s="5">
        <v>30</v>
      </c>
      <c r="AF28" s="6">
        <v>31</v>
      </c>
      <c r="AG28" s="32"/>
    </row>
    <row r="29" spans="1:34" x14ac:dyDescent="0.25">
      <c r="A29" s="19" t="s">
        <v>8</v>
      </c>
      <c r="B29" s="60"/>
      <c r="C29" s="60"/>
      <c r="D29" s="56"/>
      <c r="E29" s="56"/>
      <c r="F29" s="56"/>
      <c r="G29" s="56"/>
      <c r="H29" s="56"/>
      <c r="I29" s="60"/>
      <c r="J29" s="61"/>
      <c r="K29" s="69"/>
      <c r="L29" s="56"/>
      <c r="M29" s="56"/>
      <c r="N29" s="56"/>
      <c r="O29" s="56"/>
      <c r="P29" s="60"/>
      <c r="Q29" s="61"/>
      <c r="R29" s="69"/>
      <c r="S29" s="56"/>
      <c r="T29" s="56"/>
      <c r="U29" s="56"/>
      <c r="V29" s="56"/>
      <c r="W29" s="60"/>
      <c r="X29" s="61"/>
      <c r="Y29" s="69"/>
      <c r="Z29" s="59"/>
      <c r="AA29" s="80"/>
      <c r="AB29" s="80"/>
      <c r="AC29" s="56"/>
      <c r="AD29" s="60"/>
      <c r="AE29" s="61"/>
      <c r="AF29" s="69"/>
      <c r="AG29" s="32"/>
    </row>
    <row r="30" spans="1:34" x14ac:dyDescent="0.25">
      <c r="A30" s="19" t="s">
        <v>1</v>
      </c>
      <c r="B30" s="63"/>
      <c r="C30" s="63"/>
      <c r="D30" s="52">
        <v>1770</v>
      </c>
      <c r="E30" s="52">
        <f>D30+1770</f>
        <v>3540</v>
      </c>
      <c r="F30" s="52">
        <f>E30+1770</f>
        <v>5310</v>
      </c>
      <c r="G30" s="52">
        <f t="shared" ref="G30:H30" si="12">F30+1770</f>
        <v>7080</v>
      </c>
      <c r="H30" s="52">
        <f t="shared" si="12"/>
        <v>8850</v>
      </c>
      <c r="I30" s="63"/>
      <c r="J30" s="64"/>
      <c r="K30" s="71">
        <f>H30+1770</f>
        <v>10620</v>
      </c>
      <c r="L30" s="71">
        <f>K30+1770</f>
        <v>12390</v>
      </c>
      <c r="M30" s="71">
        <f t="shared" ref="M30:O30" si="13">L30+1770</f>
        <v>14160</v>
      </c>
      <c r="N30" s="71">
        <f t="shared" si="13"/>
        <v>15930</v>
      </c>
      <c r="O30" s="71">
        <f t="shared" si="13"/>
        <v>17700</v>
      </c>
      <c r="P30" s="63"/>
      <c r="Q30" s="64"/>
      <c r="R30" s="71">
        <f>O30+1770</f>
        <v>19470</v>
      </c>
      <c r="S30" s="71">
        <f>R30+1770</f>
        <v>21240</v>
      </c>
      <c r="T30" s="71">
        <f t="shared" ref="T30:V30" si="14">S30+1770</f>
        <v>23010</v>
      </c>
      <c r="U30" s="71">
        <f t="shared" si="14"/>
        <v>24780</v>
      </c>
      <c r="V30" s="71">
        <f t="shared" si="14"/>
        <v>26550</v>
      </c>
      <c r="W30" s="63"/>
      <c r="X30" s="64"/>
      <c r="Y30" s="71">
        <f>V30+1770</f>
        <v>28320</v>
      </c>
      <c r="Z30" s="62"/>
      <c r="AA30" s="71">
        <f>Y30+1770</f>
        <v>30090</v>
      </c>
      <c r="AB30" s="71">
        <f>AA30+1770</f>
        <v>31860</v>
      </c>
      <c r="AC30" s="71">
        <f>AB30+1770</f>
        <v>33630</v>
      </c>
      <c r="AD30" s="63"/>
      <c r="AE30" s="91"/>
      <c r="AF30" s="81">
        <f>AC30+1770</f>
        <v>35400</v>
      </c>
      <c r="AG30" s="32"/>
    </row>
    <row r="31" spans="1:34" x14ac:dyDescent="0.25">
      <c r="A31" s="19" t="s">
        <v>2</v>
      </c>
      <c r="B31" s="15"/>
      <c r="C31" s="15"/>
      <c r="D31" s="4">
        <f>D29/D30</f>
        <v>0</v>
      </c>
      <c r="E31" s="4">
        <f t="shared" ref="E31:AF31" si="15">E29/E30</f>
        <v>0</v>
      </c>
      <c r="F31" s="4">
        <f t="shared" si="15"/>
        <v>0</v>
      </c>
      <c r="G31" s="4">
        <f t="shared" si="15"/>
        <v>0</v>
      </c>
      <c r="H31" s="4">
        <f t="shared" si="15"/>
        <v>0</v>
      </c>
      <c r="I31" s="15"/>
      <c r="J31" s="15"/>
      <c r="K31" s="4">
        <f t="shared" si="15"/>
        <v>0</v>
      </c>
      <c r="L31" s="4">
        <f t="shared" si="15"/>
        <v>0</v>
      </c>
      <c r="M31" s="4">
        <f t="shared" si="15"/>
        <v>0</v>
      </c>
      <c r="N31" s="4">
        <f t="shared" si="15"/>
        <v>0</v>
      </c>
      <c r="O31" s="4">
        <f t="shared" si="15"/>
        <v>0</v>
      </c>
      <c r="P31" s="15"/>
      <c r="Q31" s="15"/>
      <c r="R31" s="4">
        <f t="shared" si="15"/>
        <v>0</v>
      </c>
      <c r="S31" s="4">
        <f t="shared" si="15"/>
        <v>0</v>
      </c>
      <c r="T31" s="4">
        <f t="shared" si="15"/>
        <v>0</v>
      </c>
      <c r="U31" s="4">
        <f t="shared" si="15"/>
        <v>0</v>
      </c>
      <c r="V31" s="4">
        <f t="shared" si="15"/>
        <v>0</v>
      </c>
      <c r="W31" s="15"/>
      <c r="X31" s="15"/>
      <c r="Y31" s="4">
        <f t="shared" si="15"/>
        <v>0</v>
      </c>
      <c r="Z31" s="53"/>
      <c r="AA31" s="4">
        <f t="shared" si="15"/>
        <v>0</v>
      </c>
      <c r="AB31" s="4">
        <f t="shared" si="15"/>
        <v>0</v>
      </c>
      <c r="AC31" s="4">
        <f t="shared" si="15"/>
        <v>0</v>
      </c>
      <c r="AD31" s="15"/>
      <c r="AE31" s="15"/>
      <c r="AF31" s="4">
        <f t="shared" si="15"/>
        <v>0</v>
      </c>
      <c r="AG31" s="32"/>
    </row>
    <row r="32" spans="1:34" ht="15.75" thickBot="1" x14ac:dyDescent="0.3">
      <c r="A32" s="20"/>
      <c r="B32" s="16"/>
      <c r="C32" s="16"/>
      <c r="D32" s="7"/>
      <c r="E32" s="26"/>
      <c r="F32" s="26"/>
      <c r="G32" s="7"/>
      <c r="H32" s="7"/>
      <c r="I32" s="16"/>
      <c r="J32" s="55"/>
      <c r="K32" s="73"/>
      <c r="L32" s="7"/>
      <c r="M32" s="7"/>
      <c r="N32" s="7"/>
      <c r="O32" s="7"/>
      <c r="P32" s="16"/>
      <c r="Q32" s="55"/>
      <c r="R32" s="73"/>
      <c r="S32" s="7"/>
      <c r="T32" s="7"/>
      <c r="U32" s="7"/>
      <c r="V32" s="7"/>
      <c r="W32" s="16"/>
      <c r="X32" s="55"/>
      <c r="Y32" s="73"/>
      <c r="Z32" s="54"/>
      <c r="AA32" s="82"/>
      <c r="AB32" s="82"/>
      <c r="AC32" s="7"/>
      <c r="AD32" s="16"/>
      <c r="AE32" s="55"/>
      <c r="AF32" s="73"/>
      <c r="AG32" s="32"/>
    </row>
    <row r="33" spans="1:33" x14ac:dyDescent="0.2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78"/>
      <c r="AB33" s="78"/>
      <c r="AC33" s="32"/>
      <c r="AD33" s="32"/>
      <c r="AE33" s="32"/>
      <c r="AF33" s="32"/>
      <c r="AG33" s="32"/>
    </row>
    <row r="34" spans="1:33" ht="15.75" thickBo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78"/>
      <c r="AB34" s="78"/>
      <c r="AC34" s="32"/>
      <c r="AD34" s="32"/>
      <c r="AE34" s="32"/>
      <c r="AF34" s="32"/>
      <c r="AG34" s="32"/>
    </row>
    <row r="35" spans="1:33" x14ac:dyDescent="0.25">
      <c r="A35" s="18" t="s">
        <v>28</v>
      </c>
      <c r="B35" s="5">
        <v>1</v>
      </c>
      <c r="C35" s="5">
        <v>2</v>
      </c>
      <c r="D35" s="5">
        <v>3</v>
      </c>
      <c r="E35" s="5">
        <v>4</v>
      </c>
      <c r="F35" s="5">
        <v>5</v>
      </c>
      <c r="G35" s="5">
        <v>6</v>
      </c>
      <c r="H35" s="5">
        <v>7</v>
      </c>
      <c r="I35" s="5">
        <v>8</v>
      </c>
      <c r="J35" s="5">
        <v>9</v>
      </c>
      <c r="K35" s="5">
        <v>10</v>
      </c>
      <c r="L35" s="5">
        <v>11</v>
      </c>
      <c r="M35" s="5">
        <v>12</v>
      </c>
      <c r="N35" s="5">
        <v>13</v>
      </c>
      <c r="O35" s="5">
        <v>14</v>
      </c>
      <c r="P35" s="5">
        <v>15</v>
      </c>
      <c r="Q35" s="5">
        <v>16</v>
      </c>
      <c r="R35" s="5">
        <v>17</v>
      </c>
      <c r="S35" s="5">
        <v>18</v>
      </c>
      <c r="T35" s="5">
        <v>19</v>
      </c>
      <c r="U35" s="5">
        <v>20</v>
      </c>
      <c r="V35" s="5">
        <v>21</v>
      </c>
      <c r="W35" s="5">
        <v>22</v>
      </c>
      <c r="X35" s="5">
        <v>23</v>
      </c>
      <c r="Y35" s="5">
        <v>24</v>
      </c>
      <c r="Z35" s="5">
        <v>25</v>
      </c>
      <c r="AA35" s="79">
        <v>26</v>
      </c>
      <c r="AB35" s="79">
        <v>27</v>
      </c>
      <c r="AC35" s="5">
        <v>28</v>
      </c>
      <c r="AD35" s="5">
        <v>29</v>
      </c>
      <c r="AE35" s="5">
        <v>30</v>
      </c>
      <c r="AF35" s="6">
        <v>31</v>
      </c>
      <c r="AG35" s="32"/>
    </row>
    <row r="36" spans="1:33" x14ac:dyDescent="0.25">
      <c r="A36" s="19" t="s">
        <v>8</v>
      </c>
      <c r="B36" s="60"/>
      <c r="C36" s="60"/>
      <c r="D36" s="56"/>
      <c r="E36" s="56"/>
      <c r="F36" s="56"/>
      <c r="G36" s="56"/>
      <c r="H36" s="56"/>
      <c r="I36" s="60"/>
      <c r="J36" s="61"/>
      <c r="K36" s="69"/>
      <c r="L36" s="56"/>
      <c r="M36" s="56"/>
      <c r="N36" s="56"/>
      <c r="O36" s="56"/>
      <c r="P36" s="60"/>
      <c r="Q36" s="61"/>
      <c r="R36" s="69"/>
      <c r="S36" s="56"/>
      <c r="T36" s="56"/>
      <c r="U36" s="56"/>
      <c r="V36" s="56"/>
      <c r="W36" s="60"/>
      <c r="X36" s="61"/>
      <c r="Y36" s="69"/>
      <c r="Z36" s="59"/>
      <c r="AA36" s="80"/>
      <c r="AB36" s="80"/>
      <c r="AC36" s="56"/>
      <c r="AD36" s="60"/>
      <c r="AE36" s="61"/>
      <c r="AF36" s="69"/>
      <c r="AG36" s="32"/>
    </row>
    <row r="37" spans="1:33" x14ac:dyDescent="0.25">
      <c r="A37" s="19" t="s">
        <v>1</v>
      </c>
      <c r="B37" s="63"/>
      <c r="C37" s="63"/>
      <c r="D37" s="52">
        <v>3262</v>
      </c>
      <c r="E37" s="52">
        <f>D37+3262</f>
        <v>6524</v>
      </c>
      <c r="F37" s="52">
        <f t="shared" ref="F37:H37" si="16">E37+3262</f>
        <v>9786</v>
      </c>
      <c r="G37" s="52">
        <f t="shared" si="16"/>
        <v>13048</v>
      </c>
      <c r="H37" s="52">
        <f t="shared" si="16"/>
        <v>16310</v>
      </c>
      <c r="I37" s="63"/>
      <c r="J37" s="64"/>
      <c r="K37" s="71">
        <f>H37+3262</f>
        <v>19572</v>
      </c>
      <c r="L37" s="71">
        <f>K37+3262</f>
        <v>22834</v>
      </c>
      <c r="M37" s="71">
        <f t="shared" ref="M37:O37" si="17">L37+3262</f>
        <v>26096</v>
      </c>
      <c r="N37" s="71">
        <f t="shared" si="17"/>
        <v>29358</v>
      </c>
      <c r="O37" s="71">
        <f t="shared" si="17"/>
        <v>32620</v>
      </c>
      <c r="P37" s="63"/>
      <c r="Q37" s="64"/>
      <c r="R37" s="71">
        <f>O37+3262</f>
        <v>35882</v>
      </c>
      <c r="S37" s="71">
        <f>R37+3262</f>
        <v>39144</v>
      </c>
      <c r="T37" s="71">
        <f t="shared" ref="T37:V37" si="18">S37+3262</f>
        <v>42406</v>
      </c>
      <c r="U37" s="71">
        <f t="shared" si="18"/>
        <v>45668</v>
      </c>
      <c r="V37" s="71">
        <f t="shared" si="18"/>
        <v>48930</v>
      </c>
      <c r="W37" s="63"/>
      <c r="X37" s="64"/>
      <c r="Y37" s="71">
        <f>V37+3262</f>
        <v>52192</v>
      </c>
      <c r="Z37" s="62"/>
      <c r="AA37" s="71">
        <f>Y37+3262</f>
        <v>55454</v>
      </c>
      <c r="AB37" s="71">
        <f>AA37+3262</f>
        <v>58716</v>
      </c>
      <c r="AC37" s="71">
        <f>AB37+3262</f>
        <v>61978</v>
      </c>
      <c r="AD37" s="63"/>
      <c r="AE37" s="91"/>
      <c r="AF37" s="81">
        <f>AC37+3262</f>
        <v>65240</v>
      </c>
      <c r="AG37" s="32"/>
    </row>
    <row r="38" spans="1:33" x14ac:dyDescent="0.25">
      <c r="A38" s="19" t="s">
        <v>2</v>
      </c>
      <c r="B38" s="15"/>
      <c r="C38" s="15"/>
      <c r="D38" s="4">
        <f>D36/D37</f>
        <v>0</v>
      </c>
      <c r="E38" s="4">
        <f t="shared" ref="E38:AF38" si="19">E36/E37</f>
        <v>0</v>
      </c>
      <c r="F38" s="4">
        <f t="shared" si="19"/>
        <v>0</v>
      </c>
      <c r="G38" s="4">
        <f t="shared" si="19"/>
        <v>0</v>
      </c>
      <c r="H38" s="4">
        <f t="shared" si="19"/>
        <v>0</v>
      </c>
      <c r="I38" s="15"/>
      <c r="J38" s="15"/>
      <c r="K38" s="4">
        <f t="shared" si="19"/>
        <v>0</v>
      </c>
      <c r="L38" s="4">
        <f t="shared" si="19"/>
        <v>0</v>
      </c>
      <c r="M38" s="4">
        <f t="shared" si="19"/>
        <v>0</v>
      </c>
      <c r="N38" s="4">
        <f t="shared" si="19"/>
        <v>0</v>
      </c>
      <c r="O38" s="4">
        <f t="shared" si="19"/>
        <v>0</v>
      </c>
      <c r="P38" s="15"/>
      <c r="Q38" s="15"/>
      <c r="R38" s="4">
        <f t="shared" si="19"/>
        <v>0</v>
      </c>
      <c r="S38" s="4">
        <f t="shared" si="19"/>
        <v>0</v>
      </c>
      <c r="T38" s="4">
        <f t="shared" si="19"/>
        <v>0</v>
      </c>
      <c r="U38" s="4">
        <f t="shared" si="19"/>
        <v>0</v>
      </c>
      <c r="V38" s="4">
        <f t="shared" si="19"/>
        <v>0</v>
      </c>
      <c r="W38" s="15"/>
      <c r="X38" s="15"/>
      <c r="Y38" s="4">
        <f t="shared" si="19"/>
        <v>0</v>
      </c>
      <c r="Z38" s="53"/>
      <c r="AA38" s="4">
        <f t="shared" si="19"/>
        <v>0</v>
      </c>
      <c r="AB38" s="4">
        <f t="shared" si="19"/>
        <v>0</v>
      </c>
      <c r="AC38" s="4">
        <f t="shared" si="19"/>
        <v>0</v>
      </c>
      <c r="AD38" s="15"/>
      <c r="AE38" s="15"/>
      <c r="AF38" s="4">
        <f t="shared" si="19"/>
        <v>0</v>
      </c>
      <c r="AG38" s="32"/>
    </row>
    <row r="39" spans="1:33" ht="15.75" thickBot="1" x14ac:dyDescent="0.3">
      <c r="A39" s="20"/>
      <c r="B39" s="16"/>
      <c r="C39" s="16"/>
      <c r="D39" s="7"/>
      <c r="E39" s="26"/>
      <c r="F39" s="26"/>
      <c r="G39" s="7"/>
      <c r="H39" s="7"/>
      <c r="I39" s="16"/>
      <c r="J39" s="55"/>
      <c r="K39" s="73"/>
      <c r="L39" s="7"/>
      <c r="M39" s="7"/>
      <c r="N39" s="7"/>
      <c r="O39" s="7"/>
      <c r="P39" s="16"/>
      <c r="Q39" s="55"/>
      <c r="R39" s="73"/>
      <c r="S39" s="7"/>
      <c r="T39" s="7"/>
      <c r="U39" s="7"/>
      <c r="V39" s="7"/>
      <c r="W39" s="16"/>
      <c r="X39" s="55"/>
      <c r="Y39" s="73"/>
      <c r="Z39" s="54"/>
      <c r="AA39" s="82"/>
      <c r="AB39" s="82"/>
      <c r="AC39" s="7"/>
      <c r="AD39" s="16"/>
      <c r="AE39" s="55"/>
      <c r="AF39" s="73"/>
      <c r="AG39" s="32"/>
    </row>
    <row r="40" spans="1:33" x14ac:dyDescent="0.25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78"/>
      <c r="AB40" s="78"/>
      <c r="AC40" s="32"/>
      <c r="AD40" s="32"/>
      <c r="AE40" s="32"/>
      <c r="AF40" s="32"/>
      <c r="AG40" s="32"/>
    </row>
    <row r="41" spans="1:33" ht="15.75" thickBo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78"/>
      <c r="AB41" s="78"/>
      <c r="AC41" s="32"/>
      <c r="AD41" s="32"/>
      <c r="AE41" s="32"/>
      <c r="AF41" s="32"/>
      <c r="AG41" s="32"/>
    </row>
    <row r="42" spans="1:33" x14ac:dyDescent="0.25">
      <c r="A42" s="18" t="s">
        <v>44</v>
      </c>
      <c r="B42" s="5">
        <v>1</v>
      </c>
      <c r="C42" s="5">
        <v>2</v>
      </c>
      <c r="D42" s="5">
        <v>3</v>
      </c>
      <c r="E42" s="5">
        <v>4</v>
      </c>
      <c r="F42" s="5">
        <v>5</v>
      </c>
      <c r="G42" s="5">
        <v>6</v>
      </c>
      <c r="H42" s="5">
        <v>7</v>
      </c>
      <c r="I42" s="5">
        <v>8</v>
      </c>
      <c r="J42" s="5">
        <v>9</v>
      </c>
      <c r="K42" s="5">
        <v>10</v>
      </c>
      <c r="L42" s="5">
        <v>11</v>
      </c>
      <c r="M42" s="5">
        <v>12</v>
      </c>
      <c r="N42" s="5">
        <v>13</v>
      </c>
      <c r="O42" s="5">
        <v>14</v>
      </c>
      <c r="P42" s="5">
        <v>15</v>
      </c>
      <c r="Q42" s="5">
        <v>16</v>
      </c>
      <c r="R42" s="5">
        <v>17</v>
      </c>
      <c r="S42" s="5">
        <v>18</v>
      </c>
      <c r="T42" s="5">
        <v>19</v>
      </c>
      <c r="U42" s="5">
        <v>20</v>
      </c>
      <c r="V42" s="5">
        <v>21</v>
      </c>
      <c r="W42" s="5">
        <v>22</v>
      </c>
      <c r="X42" s="5">
        <v>23</v>
      </c>
      <c r="Y42" s="5">
        <v>24</v>
      </c>
      <c r="Z42" s="5">
        <v>25</v>
      </c>
      <c r="AA42" s="79">
        <v>26</v>
      </c>
      <c r="AB42" s="79">
        <v>27</v>
      </c>
      <c r="AC42" s="5">
        <v>28</v>
      </c>
      <c r="AD42" s="5">
        <v>29</v>
      </c>
      <c r="AE42" s="5">
        <v>30</v>
      </c>
      <c r="AF42" s="6">
        <v>31</v>
      </c>
      <c r="AG42" s="32"/>
    </row>
    <row r="43" spans="1:33" x14ac:dyDescent="0.25">
      <c r="A43" s="19" t="s">
        <v>8</v>
      </c>
      <c r="B43" s="60"/>
      <c r="C43" s="60"/>
      <c r="D43" s="56"/>
      <c r="E43" s="56"/>
      <c r="F43" s="56"/>
      <c r="G43" s="56"/>
      <c r="H43" s="56"/>
      <c r="I43" s="60"/>
      <c r="J43" s="61"/>
      <c r="K43" s="69"/>
      <c r="L43" s="56"/>
      <c r="M43" s="56"/>
      <c r="N43" s="56"/>
      <c r="O43" s="56"/>
      <c r="P43" s="60"/>
      <c r="Q43" s="61"/>
      <c r="R43" s="69"/>
      <c r="S43" s="56"/>
      <c r="T43" s="56"/>
      <c r="U43" s="56"/>
      <c r="V43" s="56"/>
      <c r="W43" s="60"/>
      <c r="X43" s="61"/>
      <c r="Y43" s="69"/>
      <c r="Z43" s="59"/>
      <c r="AA43" s="80"/>
      <c r="AB43" s="80"/>
      <c r="AC43" s="56"/>
      <c r="AD43" s="60"/>
      <c r="AE43" s="61"/>
      <c r="AF43" s="69"/>
      <c r="AG43" s="32"/>
    </row>
    <row r="44" spans="1:33" x14ac:dyDescent="0.25">
      <c r="A44" s="19" t="s">
        <v>1</v>
      </c>
      <c r="B44" s="63"/>
      <c r="C44" s="63"/>
      <c r="D44" s="52">
        <v>731</v>
      </c>
      <c r="E44" s="52">
        <f>D44+731</f>
        <v>1462</v>
      </c>
      <c r="F44" s="52">
        <f t="shared" ref="F44:H44" si="20">E44+731</f>
        <v>2193</v>
      </c>
      <c r="G44" s="52">
        <f t="shared" si="20"/>
        <v>2924</v>
      </c>
      <c r="H44" s="52">
        <f t="shared" si="20"/>
        <v>3655</v>
      </c>
      <c r="I44" s="63"/>
      <c r="J44" s="64"/>
      <c r="K44" s="71">
        <f>H44+731</f>
        <v>4386</v>
      </c>
      <c r="L44" s="71">
        <f>K44+731</f>
        <v>5117</v>
      </c>
      <c r="M44" s="71">
        <f t="shared" ref="M44:O44" si="21">L44+731</f>
        <v>5848</v>
      </c>
      <c r="N44" s="71">
        <f t="shared" si="21"/>
        <v>6579</v>
      </c>
      <c r="O44" s="71">
        <f t="shared" si="21"/>
        <v>7310</v>
      </c>
      <c r="P44" s="63"/>
      <c r="Q44" s="64"/>
      <c r="R44" s="71">
        <f>O44+731</f>
        <v>8041</v>
      </c>
      <c r="S44" s="71">
        <f>R44+731</f>
        <v>8772</v>
      </c>
      <c r="T44" s="71">
        <f t="shared" ref="T44:V44" si="22">S44+731</f>
        <v>9503</v>
      </c>
      <c r="U44" s="71">
        <f t="shared" si="22"/>
        <v>10234</v>
      </c>
      <c r="V44" s="71">
        <f t="shared" si="22"/>
        <v>10965</v>
      </c>
      <c r="W44" s="63"/>
      <c r="X44" s="64"/>
      <c r="Y44" s="71">
        <f>V44+731</f>
        <v>11696</v>
      </c>
      <c r="Z44" s="62"/>
      <c r="AA44" s="71">
        <f>Y44+731</f>
        <v>12427</v>
      </c>
      <c r="AB44" s="71">
        <f>AA44+731</f>
        <v>13158</v>
      </c>
      <c r="AC44" s="71">
        <f>AB44+731</f>
        <v>13889</v>
      </c>
      <c r="AD44" s="63"/>
      <c r="AE44" s="91"/>
      <c r="AF44" s="81">
        <f>AC44+731</f>
        <v>14620</v>
      </c>
      <c r="AG44" s="32"/>
    </row>
    <row r="45" spans="1:33" x14ac:dyDescent="0.25">
      <c r="A45" s="19" t="s">
        <v>2</v>
      </c>
      <c r="B45" s="15"/>
      <c r="C45" s="15"/>
      <c r="D45" s="4">
        <f>D43/D44</f>
        <v>0</v>
      </c>
      <c r="E45" s="4">
        <f t="shared" ref="E45:AF45" si="23">E43/E44</f>
        <v>0</v>
      </c>
      <c r="F45" s="4">
        <f t="shared" si="23"/>
        <v>0</v>
      </c>
      <c r="G45" s="4">
        <f t="shared" si="23"/>
        <v>0</v>
      </c>
      <c r="H45" s="4">
        <f t="shared" si="23"/>
        <v>0</v>
      </c>
      <c r="I45" s="15"/>
      <c r="J45" s="15"/>
      <c r="K45" s="4">
        <f t="shared" si="23"/>
        <v>0</v>
      </c>
      <c r="L45" s="4">
        <f t="shared" si="23"/>
        <v>0</v>
      </c>
      <c r="M45" s="4">
        <f t="shared" si="23"/>
        <v>0</v>
      </c>
      <c r="N45" s="4">
        <f t="shared" si="23"/>
        <v>0</v>
      </c>
      <c r="O45" s="4">
        <f t="shared" si="23"/>
        <v>0</v>
      </c>
      <c r="P45" s="15"/>
      <c r="Q45" s="15"/>
      <c r="R45" s="4">
        <f t="shared" si="23"/>
        <v>0</v>
      </c>
      <c r="S45" s="4">
        <f t="shared" si="23"/>
        <v>0</v>
      </c>
      <c r="T45" s="4">
        <f t="shared" si="23"/>
        <v>0</v>
      </c>
      <c r="U45" s="4">
        <f t="shared" si="23"/>
        <v>0</v>
      </c>
      <c r="V45" s="4">
        <f t="shared" si="23"/>
        <v>0</v>
      </c>
      <c r="W45" s="15"/>
      <c r="X45" s="15"/>
      <c r="Y45" s="4">
        <f t="shared" si="23"/>
        <v>0</v>
      </c>
      <c r="Z45" s="53"/>
      <c r="AA45" s="4">
        <f t="shared" si="23"/>
        <v>0</v>
      </c>
      <c r="AB45" s="4">
        <f t="shared" si="23"/>
        <v>0</v>
      </c>
      <c r="AC45" s="4">
        <f t="shared" si="23"/>
        <v>0</v>
      </c>
      <c r="AD45" s="15"/>
      <c r="AE45" s="15"/>
      <c r="AF45" s="4">
        <f t="shared" si="23"/>
        <v>0</v>
      </c>
      <c r="AG45" s="32"/>
    </row>
    <row r="46" spans="1:33" ht="15.75" thickBot="1" x14ac:dyDescent="0.3">
      <c r="A46" s="20"/>
      <c r="B46" s="16"/>
      <c r="C46" s="16"/>
      <c r="D46" s="7"/>
      <c r="E46" s="26"/>
      <c r="F46" s="26"/>
      <c r="G46" s="7"/>
      <c r="H46" s="7"/>
      <c r="I46" s="16"/>
      <c r="J46" s="55"/>
      <c r="K46" s="73"/>
      <c r="L46" s="7"/>
      <c r="M46" s="7"/>
      <c r="N46" s="7"/>
      <c r="O46" s="7"/>
      <c r="P46" s="16"/>
      <c r="Q46" s="55"/>
      <c r="R46" s="73"/>
      <c r="S46" s="7"/>
      <c r="T46" s="7"/>
      <c r="U46" s="7"/>
      <c r="V46" s="7"/>
      <c r="W46" s="16"/>
      <c r="X46" s="55"/>
      <c r="Y46" s="73"/>
      <c r="Z46" s="54"/>
      <c r="AA46" s="82"/>
      <c r="AB46" s="82"/>
      <c r="AC46" s="7"/>
      <c r="AD46" s="16"/>
      <c r="AE46" s="55"/>
      <c r="AF46" s="73"/>
      <c r="AG46" s="32"/>
    </row>
    <row r="47" spans="1:33" ht="15.75" thickBo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78"/>
      <c r="AB47" s="78"/>
      <c r="AC47" s="32"/>
      <c r="AD47" s="32"/>
      <c r="AE47" s="32"/>
      <c r="AF47" s="32"/>
      <c r="AG47" s="32"/>
    </row>
    <row r="48" spans="1:33" x14ac:dyDescent="0.25">
      <c r="A48" s="18" t="s">
        <v>5</v>
      </c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N48" s="5">
        <v>13</v>
      </c>
      <c r="O48" s="5">
        <v>14</v>
      </c>
      <c r="P48" s="5">
        <v>15</v>
      </c>
      <c r="Q48" s="5">
        <v>16</v>
      </c>
      <c r="R48" s="5">
        <v>17</v>
      </c>
      <c r="S48" s="5">
        <v>18</v>
      </c>
      <c r="T48" s="5">
        <v>19</v>
      </c>
      <c r="U48" s="5">
        <v>20</v>
      </c>
      <c r="V48" s="5">
        <v>21</v>
      </c>
      <c r="W48" s="5">
        <v>22</v>
      </c>
      <c r="X48" s="5">
        <v>23</v>
      </c>
      <c r="Y48" s="5">
        <v>24</v>
      </c>
      <c r="Z48" s="5">
        <v>25</v>
      </c>
      <c r="AA48" s="79">
        <v>26</v>
      </c>
      <c r="AB48" s="79">
        <v>27</v>
      </c>
      <c r="AC48" s="5">
        <v>28</v>
      </c>
      <c r="AD48" s="5">
        <v>29</v>
      </c>
      <c r="AE48" s="5">
        <v>30</v>
      </c>
      <c r="AF48" s="6">
        <v>31</v>
      </c>
      <c r="AG48" s="32"/>
    </row>
    <row r="49" spans="1:33" x14ac:dyDescent="0.25">
      <c r="A49" s="19" t="s">
        <v>8</v>
      </c>
      <c r="B49" s="60"/>
      <c r="C49" s="60"/>
      <c r="D49" s="56"/>
      <c r="E49" s="56"/>
      <c r="F49" s="56"/>
      <c r="G49" s="56"/>
      <c r="H49" s="56"/>
      <c r="I49" s="60"/>
      <c r="J49" s="61"/>
      <c r="K49" s="69"/>
      <c r="L49" s="56"/>
      <c r="M49" s="56"/>
      <c r="N49" s="56"/>
      <c r="O49" s="56"/>
      <c r="P49" s="60"/>
      <c r="Q49" s="61"/>
      <c r="R49" s="69"/>
      <c r="S49" s="56"/>
      <c r="T49" s="56"/>
      <c r="U49" s="56"/>
      <c r="V49" s="56"/>
      <c r="W49" s="60"/>
      <c r="X49" s="61"/>
      <c r="Y49" s="74"/>
      <c r="Z49" s="59"/>
      <c r="AA49" s="92"/>
      <c r="AB49" s="92"/>
      <c r="AC49" s="59"/>
      <c r="AD49" s="60"/>
      <c r="AE49" s="61"/>
      <c r="AF49" s="69"/>
      <c r="AG49" s="32"/>
    </row>
    <row r="50" spans="1:33" x14ac:dyDescent="0.25">
      <c r="A50" s="19" t="s">
        <v>1</v>
      </c>
      <c r="B50" s="63"/>
      <c r="C50" s="63"/>
      <c r="D50" s="52">
        <v>515</v>
      </c>
      <c r="E50" s="52">
        <f>D50+515</f>
        <v>1030</v>
      </c>
      <c r="F50" s="52">
        <f t="shared" ref="F50:H50" si="24">E50+515</f>
        <v>1545</v>
      </c>
      <c r="G50" s="52">
        <f t="shared" si="24"/>
        <v>2060</v>
      </c>
      <c r="H50" s="52">
        <f t="shared" si="24"/>
        <v>2575</v>
      </c>
      <c r="I50" s="63"/>
      <c r="J50" s="64"/>
      <c r="K50" s="71">
        <f>H50+515</f>
        <v>3090</v>
      </c>
      <c r="L50" s="71">
        <f>K50+515</f>
        <v>3605</v>
      </c>
      <c r="M50" s="71">
        <f t="shared" ref="M50:O50" si="25">L50+515</f>
        <v>4120</v>
      </c>
      <c r="N50" s="71">
        <f t="shared" si="25"/>
        <v>4635</v>
      </c>
      <c r="O50" s="71">
        <f t="shared" si="25"/>
        <v>5150</v>
      </c>
      <c r="P50" s="63"/>
      <c r="Q50" s="64"/>
      <c r="R50" s="71">
        <f>O50+515</f>
        <v>5665</v>
      </c>
      <c r="S50" s="71">
        <f>R50+515</f>
        <v>6180</v>
      </c>
      <c r="T50" s="71">
        <f t="shared" ref="T50:V50" si="26">S50+515</f>
        <v>6695</v>
      </c>
      <c r="U50" s="71">
        <f t="shared" si="26"/>
        <v>7210</v>
      </c>
      <c r="V50" s="71">
        <f t="shared" si="26"/>
        <v>7725</v>
      </c>
      <c r="W50" s="63"/>
      <c r="X50" s="64"/>
      <c r="Y50" s="75"/>
      <c r="Z50" s="62"/>
      <c r="AA50" s="75"/>
      <c r="AB50" s="75"/>
      <c r="AC50" s="62"/>
      <c r="AD50" s="63"/>
      <c r="AE50" s="91"/>
      <c r="AF50" s="81">
        <f>V50+515</f>
        <v>8240</v>
      </c>
      <c r="AG50" s="32"/>
    </row>
    <row r="51" spans="1:33" x14ac:dyDescent="0.25">
      <c r="A51" s="19" t="s">
        <v>2</v>
      </c>
      <c r="B51" s="15"/>
      <c r="C51" s="15"/>
      <c r="D51" s="4">
        <f>D49/D50</f>
        <v>0</v>
      </c>
      <c r="E51" s="4">
        <f t="shared" ref="E51:AF51" si="27">E49/E50</f>
        <v>0</v>
      </c>
      <c r="F51" s="4">
        <f t="shared" si="27"/>
        <v>0</v>
      </c>
      <c r="G51" s="4">
        <f t="shared" si="27"/>
        <v>0</v>
      </c>
      <c r="H51" s="4">
        <f t="shared" si="27"/>
        <v>0</v>
      </c>
      <c r="I51" s="15"/>
      <c r="J51" s="15"/>
      <c r="K51" s="4">
        <f t="shared" si="27"/>
        <v>0</v>
      </c>
      <c r="L51" s="4">
        <f t="shared" si="27"/>
        <v>0</v>
      </c>
      <c r="M51" s="4">
        <f t="shared" si="27"/>
        <v>0</v>
      </c>
      <c r="N51" s="4">
        <f t="shared" si="27"/>
        <v>0</v>
      </c>
      <c r="O51" s="4">
        <f t="shared" si="27"/>
        <v>0</v>
      </c>
      <c r="P51" s="15"/>
      <c r="Q51" s="15"/>
      <c r="R51" s="4">
        <f t="shared" si="27"/>
        <v>0</v>
      </c>
      <c r="S51" s="4">
        <f t="shared" si="27"/>
        <v>0</v>
      </c>
      <c r="T51" s="4">
        <f t="shared" si="27"/>
        <v>0</v>
      </c>
      <c r="U51" s="4">
        <f t="shared" si="27"/>
        <v>0</v>
      </c>
      <c r="V51" s="4">
        <f t="shared" si="27"/>
        <v>0</v>
      </c>
      <c r="W51" s="15"/>
      <c r="X51" s="15"/>
      <c r="Y51" s="53"/>
      <c r="Z51" s="53"/>
      <c r="AA51" s="53"/>
      <c r="AB51" s="53"/>
      <c r="AC51" s="53"/>
      <c r="AD51" s="15"/>
      <c r="AE51" s="15"/>
      <c r="AF51" s="4">
        <f t="shared" si="27"/>
        <v>0</v>
      </c>
      <c r="AG51" s="32"/>
    </row>
    <row r="52" spans="1:33" ht="15.75" thickBot="1" x14ac:dyDescent="0.3">
      <c r="A52" s="20"/>
      <c r="B52" s="16"/>
      <c r="C52" s="16"/>
      <c r="D52" s="7"/>
      <c r="E52" s="26"/>
      <c r="F52" s="26"/>
      <c r="G52" s="7"/>
      <c r="H52" s="7"/>
      <c r="I52" s="16"/>
      <c r="J52" s="55"/>
      <c r="K52" s="73"/>
      <c r="L52" s="7"/>
      <c r="M52" s="7"/>
      <c r="N52" s="7"/>
      <c r="O52" s="7"/>
      <c r="P52" s="16"/>
      <c r="Q52" s="55"/>
      <c r="R52" s="73"/>
      <c r="S52" s="7"/>
      <c r="T52" s="7"/>
      <c r="U52" s="7"/>
      <c r="V52" s="7"/>
      <c r="W52" s="16"/>
      <c r="X52" s="55"/>
      <c r="Y52" s="76"/>
      <c r="Z52" s="54"/>
      <c r="AA52" s="93"/>
      <c r="AB52" s="93"/>
      <c r="AC52" s="54"/>
      <c r="AD52" s="16"/>
      <c r="AE52" s="55"/>
      <c r="AF52" s="73"/>
      <c r="AG52" s="32"/>
    </row>
    <row r="53" spans="1:33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78"/>
      <c r="AB53" s="78"/>
      <c r="AC53" s="32"/>
      <c r="AD53" s="32"/>
      <c r="AE53" s="32"/>
      <c r="AF53" s="32"/>
      <c r="AG53" s="32"/>
    </row>
    <row r="54" spans="1:33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78"/>
      <c r="AB54" s="78"/>
      <c r="AC54" s="32"/>
      <c r="AD54" s="32"/>
      <c r="AE54" s="32"/>
      <c r="AF54" s="32"/>
      <c r="AG54" s="32"/>
    </row>
    <row r="55" spans="1:33" ht="15.75" thickBo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78"/>
      <c r="AB55" s="78"/>
      <c r="AC55" s="32"/>
      <c r="AD55" s="32"/>
      <c r="AE55" s="32"/>
      <c r="AF55" s="32"/>
      <c r="AG55" s="32"/>
    </row>
    <row r="56" spans="1:33" x14ac:dyDescent="0.25">
      <c r="A56" s="18" t="s">
        <v>7</v>
      </c>
      <c r="B56" s="5">
        <v>1</v>
      </c>
      <c r="C56" s="5">
        <v>2</v>
      </c>
      <c r="D56" s="5">
        <v>3</v>
      </c>
      <c r="E56" s="5">
        <v>4</v>
      </c>
      <c r="F56" s="5">
        <v>5</v>
      </c>
      <c r="G56" s="5">
        <v>6</v>
      </c>
      <c r="H56" s="5">
        <v>7</v>
      </c>
      <c r="I56" s="5">
        <v>8</v>
      </c>
      <c r="J56" s="5">
        <v>9</v>
      </c>
      <c r="K56" s="5">
        <v>10</v>
      </c>
      <c r="L56" s="5">
        <v>11</v>
      </c>
      <c r="M56" s="5">
        <v>12</v>
      </c>
      <c r="N56" s="5">
        <v>13</v>
      </c>
      <c r="O56" s="5">
        <v>14</v>
      </c>
      <c r="P56" s="5">
        <v>15</v>
      </c>
      <c r="Q56" s="5">
        <v>16</v>
      </c>
      <c r="R56" s="5">
        <v>17</v>
      </c>
      <c r="S56" s="5">
        <v>18</v>
      </c>
      <c r="T56" s="5">
        <v>19</v>
      </c>
      <c r="U56" s="5">
        <v>20</v>
      </c>
      <c r="V56" s="5">
        <v>21</v>
      </c>
      <c r="W56" s="5">
        <v>22</v>
      </c>
      <c r="X56" s="5">
        <v>23</v>
      </c>
      <c r="Y56" s="5">
        <v>24</v>
      </c>
      <c r="Z56" s="5">
        <v>25</v>
      </c>
      <c r="AA56" s="79">
        <v>26</v>
      </c>
      <c r="AB56" s="79">
        <v>27</v>
      </c>
      <c r="AC56" s="5">
        <v>28</v>
      </c>
      <c r="AD56" s="5">
        <v>29</v>
      </c>
      <c r="AE56" s="5">
        <v>30</v>
      </c>
      <c r="AF56" s="6">
        <v>31</v>
      </c>
      <c r="AG56" s="32"/>
    </row>
    <row r="57" spans="1:33" x14ac:dyDescent="0.25">
      <c r="A57" s="19" t="s">
        <v>8</v>
      </c>
      <c r="B57" s="60"/>
      <c r="C57" s="60"/>
      <c r="D57" s="56"/>
      <c r="E57" s="56"/>
      <c r="F57" s="56"/>
      <c r="G57" s="56"/>
      <c r="H57" s="56"/>
      <c r="I57" s="60"/>
      <c r="J57" s="61"/>
      <c r="K57" s="69"/>
      <c r="L57" s="56"/>
      <c r="M57" s="56"/>
      <c r="N57" s="56"/>
      <c r="O57" s="56"/>
      <c r="P57" s="60"/>
      <c r="Q57" s="61"/>
      <c r="R57" s="69"/>
      <c r="S57" s="56"/>
      <c r="T57" s="56"/>
      <c r="U57" s="56"/>
      <c r="V57" s="56"/>
      <c r="W57" s="60"/>
      <c r="X57" s="61"/>
      <c r="Y57" s="69"/>
      <c r="Z57" s="59"/>
      <c r="AA57" s="80"/>
      <c r="AB57" s="80"/>
      <c r="AC57" s="56"/>
      <c r="AD57" s="60"/>
      <c r="AE57" s="61"/>
      <c r="AF57" s="69"/>
      <c r="AG57" s="32"/>
    </row>
    <row r="58" spans="1:33" x14ac:dyDescent="0.25">
      <c r="A58" s="19" t="s">
        <v>1</v>
      </c>
      <c r="B58" s="63"/>
      <c r="C58" s="63"/>
      <c r="D58" s="52">
        <v>2004</v>
      </c>
      <c r="E58" s="52">
        <f>D58+2004</f>
        <v>4008</v>
      </c>
      <c r="F58" s="52">
        <f t="shared" ref="F58:H58" si="28">E58+2004</f>
        <v>6012</v>
      </c>
      <c r="G58" s="52">
        <f t="shared" si="28"/>
        <v>8016</v>
      </c>
      <c r="H58" s="52">
        <f t="shared" si="28"/>
        <v>10020</v>
      </c>
      <c r="I58" s="63"/>
      <c r="J58" s="64"/>
      <c r="K58" s="71">
        <f>H58+2004</f>
        <v>12024</v>
      </c>
      <c r="L58" s="71">
        <f>K58+2004</f>
        <v>14028</v>
      </c>
      <c r="M58" s="71">
        <f t="shared" ref="M58:O58" si="29">L58+2004</f>
        <v>16032</v>
      </c>
      <c r="N58" s="71">
        <f t="shared" si="29"/>
        <v>18036</v>
      </c>
      <c r="O58" s="71">
        <f t="shared" si="29"/>
        <v>20040</v>
      </c>
      <c r="P58" s="63"/>
      <c r="Q58" s="64"/>
      <c r="R58" s="71">
        <f>O58+2004</f>
        <v>22044</v>
      </c>
      <c r="S58" s="71">
        <f>R58+2004</f>
        <v>24048</v>
      </c>
      <c r="T58" s="71">
        <f t="shared" ref="T58:V58" si="30">S58+2004</f>
        <v>26052</v>
      </c>
      <c r="U58" s="71">
        <f t="shared" si="30"/>
        <v>28056</v>
      </c>
      <c r="V58" s="71">
        <f t="shared" si="30"/>
        <v>30060</v>
      </c>
      <c r="W58" s="63"/>
      <c r="X58" s="64"/>
      <c r="Y58" s="71">
        <f>V58+2004</f>
        <v>32064</v>
      </c>
      <c r="Z58" s="62"/>
      <c r="AA58" s="71">
        <f>Y58+2004</f>
        <v>34068</v>
      </c>
      <c r="AB58" s="71">
        <f>AA58+2004</f>
        <v>36072</v>
      </c>
      <c r="AC58" s="71">
        <f>AB58+2004</f>
        <v>38076</v>
      </c>
      <c r="AD58" s="63"/>
      <c r="AE58" s="91"/>
      <c r="AF58" s="81">
        <f>AC58+2004</f>
        <v>40080</v>
      </c>
      <c r="AG58" s="32"/>
    </row>
    <row r="59" spans="1:33" x14ac:dyDescent="0.25">
      <c r="A59" s="19" t="s">
        <v>2</v>
      </c>
      <c r="B59" s="15"/>
      <c r="C59" s="15"/>
      <c r="D59" s="4">
        <f>D57/D58</f>
        <v>0</v>
      </c>
      <c r="E59" s="4">
        <f t="shared" ref="E59:AF59" si="31">E57/E58</f>
        <v>0</v>
      </c>
      <c r="F59" s="4">
        <f t="shared" si="31"/>
        <v>0</v>
      </c>
      <c r="G59" s="4">
        <f t="shared" si="31"/>
        <v>0</v>
      </c>
      <c r="H59" s="4">
        <f t="shared" si="31"/>
        <v>0</v>
      </c>
      <c r="I59" s="15"/>
      <c r="J59" s="15"/>
      <c r="K59" s="4">
        <f t="shared" si="31"/>
        <v>0</v>
      </c>
      <c r="L59" s="4">
        <f t="shared" si="31"/>
        <v>0</v>
      </c>
      <c r="M59" s="4">
        <f t="shared" si="31"/>
        <v>0</v>
      </c>
      <c r="N59" s="4">
        <f t="shared" si="31"/>
        <v>0</v>
      </c>
      <c r="O59" s="4">
        <f t="shared" si="31"/>
        <v>0</v>
      </c>
      <c r="P59" s="15"/>
      <c r="Q59" s="15"/>
      <c r="R59" s="4">
        <f t="shared" si="31"/>
        <v>0</v>
      </c>
      <c r="S59" s="4">
        <f t="shared" si="31"/>
        <v>0</v>
      </c>
      <c r="T59" s="4">
        <f t="shared" si="31"/>
        <v>0</v>
      </c>
      <c r="U59" s="4">
        <f t="shared" si="31"/>
        <v>0</v>
      </c>
      <c r="V59" s="4">
        <f t="shared" si="31"/>
        <v>0</v>
      </c>
      <c r="W59" s="15"/>
      <c r="X59" s="15"/>
      <c r="Y59" s="4">
        <f t="shared" si="31"/>
        <v>0</v>
      </c>
      <c r="Z59" s="53"/>
      <c r="AA59" s="4">
        <f t="shared" si="31"/>
        <v>0</v>
      </c>
      <c r="AB59" s="4">
        <f t="shared" si="31"/>
        <v>0</v>
      </c>
      <c r="AC59" s="4">
        <f t="shared" si="31"/>
        <v>0</v>
      </c>
      <c r="AD59" s="15"/>
      <c r="AE59" s="15"/>
      <c r="AF59" s="4">
        <f t="shared" si="31"/>
        <v>0</v>
      </c>
      <c r="AG59" s="32"/>
    </row>
    <row r="60" spans="1:33" ht="15.75" thickBot="1" x14ac:dyDescent="0.3">
      <c r="A60" s="20"/>
      <c r="B60" s="16"/>
      <c r="C60" s="16"/>
      <c r="D60" s="7"/>
      <c r="E60" s="26"/>
      <c r="F60" s="26"/>
      <c r="G60" s="7"/>
      <c r="H60" s="7"/>
      <c r="I60" s="16"/>
      <c r="J60" s="55"/>
      <c r="K60" s="73"/>
      <c r="L60" s="7"/>
      <c r="M60" s="7"/>
      <c r="N60" s="7"/>
      <c r="O60" s="7"/>
      <c r="P60" s="16"/>
      <c r="Q60" s="55"/>
      <c r="R60" s="73"/>
      <c r="S60" s="7"/>
      <c r="T60" s="7"/>
      <c r="U60" s="7"/>
      <c r="V60" s="7"/>
      <c r="W60" s="16"/>
      <c r="X60" s="55"/>
      <c r="Y60" s="73"/>
      <c r="Z60" s="54"/>
      <c r="AA60" s="82"/>
      <c r="AB60" s="82"/>
      <c r="AC60" s="7"/>
      <c r="AD60" s="16"/>
      <c r="AE60" s="55"/>
      <c r="AF60" s="73"/>
      <c r="AG60" s="32"/>
    </row>
    <row r="61" spans="1:33" x14ac:dyDescent="0.2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78"/>
      <c r="AB61" s="78"/>
      <c r="AC61" s="32"/>
      <c r="AD61" s="32"/>
      <c r="AE61" s="32"/>
      <c r="AF61" s="32"/>
      <c r="AG61" s="32"/>
    </row>
    <row r="62" spans="1:33" ht="15.75" thickBo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78"/>
      <c r="AB62" s="78"/>
      <c r="AC62" s="32"/>
      <c r="AD62" s="32"/>
      <c r="AE62" s="32"/>
      <c r="AF62" s="32"/>
      <c r="AG62" s="32"/>
    </row>
    <row r="63" spans="1:33" x14ac:dyDescent="0.25">
      <c r="A63" s="18" t="s">
        <v>40</v>
      </c>
      <c r="B63" s="5">
        <v>1</v>
      </c>
      <c r="C63" s="5">
        <v>2</v>
      </c>
      <c r="D63" s="5">
        <v>3</v>
      </c>
      <c r="E63" s="5">
        <v>4</v>
      </c>
      <c r="F63" s="5">
        <v>5</v>
      </c>
      <c r="G63" s="5">
        <v>6</v>
      </c>
      <c r="H63" s="5">
        <v>7</v>
      </c>
      <c r="I63" s="5">
        <v>8</v>
      </c>
      <c r="J63" s="5">
        <v>9</v>
      </c>
      <c r="K63" s="5">
        <v>10</v>
      </c>
      <c r="L63" s="5">
        <v>11</v>
      </c>
      <c r="M63" s="5">
        <v>12</v>
      </c>
      <c r="N63" s="5">
        <v>13</v>
      </c>
      <c r="O63" s="5">
        <v>14</v>
      </c>
      <c r="P63" s="5">
        <v>15</v>
      </c>
      <c r="Q63" s="5">
        <v>16</v>
      </c>
      <c r="R63" s="5">
        <v>17</v>
      </c>
      <c r="S63" s="5">
        <v>18</v>
      </c>
      <c r="T63" s="5">
        <v>19</v>
      </c>
      <c r="U63" s="5">
        <v>20</v>
      </c>
      <c r="V63" s="5">
        <v>21</v>
      </c>
      <c r="W63" s="5">
        <v>22</v>
      </c>
      <c r="X63" s="5">
        <v>23</v>
      </c>
      <c r="Y63" s="5">
        <v>24</v>
      </c>
      <c r="Z63" s="5">
        <v>25</v>
      </c>
      <c r="AA63" s="79">
        <v>26</v>
      </c>
      <c r="AB63" s="79">
        <v>27</v>
      </c>
      <c r="AC63" s="5">
        <v>28</v>
      </c>
      <c r="AD63" s="5">
        <v>29</v>
      </c>
      <c r="AE63" s="5">
        <v>30</v>
      </c>
      <c r="AF63" s="6">
        <v>31</v>
      </c>
    </row>
    <row r="64" spans="1:33" x14ac:dyDescent="0.25">
      <c r="A64" s="19" t="s">
        <v>8</v>
      </c>
      <c r="B64" s="60"/>
      <c r="C64" s="60"/>
      <c r="D64" s="56"/>
      <c r="E64" s="56"/>
      <c r="F64" s="56"/>
      <c r="G64" s="56"/>
      <c r="H64" s="56"/>
      <c r="I64" s="60"/>
      <c r="J64" s="61"/>
      <c r="K64" s="69"/>
      <c r="L64" s="56"/>
      <c r="M64" s="56"/>
      <c r="N64" s="56"/>
      <c r="O64" s="56"/>
      <c r="P64" s="60"/>
      <c r="Q64" s="61"/>
      <c r="R64" s="69"/>
      <c r="S64" s="56"/>
      <c r="T64" s="56"/>
      <c r="U64" s="56"/>
      <c r="V64" s="56"/>
      <c r="W64" s="60"/>
      <c r="X64" s="61"/>
      <c r="Y64" s="69"/>
      <c r="Z64" s="59"/>
      <c r="AA64" s="80"/>
      <c r="AB64" s="80"/>
      <c r="AC64" s="56"/>
      <c r="AD64" s="60"/>
      <c r="AE64" s="61"/>
      <c r="AF64" s="69"/>
    </row>
    <row r="65" spans="1:32" x14ac:dyDescent="0.25">
      <c r="A65" s="19" t="s">
        <v>1</v>
      </c>
      <c r="B65" s="63"/>
      <c r="C65" s="63"/>
      <c r="D65" s="52">
        <v>913</v>
      </c>
      <c r="E65" s="52">
        <f>D65+913</f>
        <v>1826</v>
      </c>
      <c r="F65" s="52">
        <f>E65+913</f>
        <v>2739</v>
      </c>
      <c r="G65" s="52">
        <f t="shared" ref="G65:H65" si="32">F65+913</f>
        <v>3652</v>
      </c>
      <c r="H65" s="52">
        <f t="shared" si="32"/>
        <v>4565</v>
      </c>
      <c r="I65" s="63"/>
      <c r="J65" s="64"/>
      <c r="K65" s="71">
        <f>H65+913</f>
        <v>5478</v>
      </c>
      <c r="L65" s="71">
        <f>K65+913</f>
        <v>6391</v>
      </c>
      <c r="M65" s="71">
        <f t="shared" ref="M65:O65" si="33">L65+913</f>
        <v>7304</v>
      </c>
      <c r="N65" s="71">
        <f t="shared" si="33"/>
        <v>8217</v>
      </c>
      <c r="O65" s="71">
        <f t="shared" si="33"/>
        <v>9130</v>
      </c>
      <c r="P65" s="63"/>
      <c r="Q65" s="64"/>
      <c r="R65" s="71">
        <f>O65+913</f>
        <v>10043</v>
      </c>
      <c r="S65" s="71">
        <f>R65+913</f>
        <v>10956</v>
      </c>
      <c r="T65" s="71">
        <f t="shared" ref="T65:V65" si="34">S65+913</f>
        <v>11869</v>
      </c>
      <c r="U65" s="71">
        <f t="shared" si="34"/>
        <v>12782</v>
      </c>
      <c r="V65" s="71">
        <f t="shared" si="34"/>
        <v>13695</v>
      </c>
      <c r="W65" s="63"/>
      <c r="X65" s="64"/>
      <c r="Y65" s="71">
        <f>V65+913</f>
        <v>14608</v>
      </c>
      <c r="Z65" s="62"/>
      <c r="AA65" s="71">
        <f>Y65+913</f>
        <v>15521</v>
      </c>
      <c r="AB65" s="71">
        <f>AA65+913</f>
        <v>16434</v>
      </c>
      <c r="AC65" s="71">
        <f>AB65+913</f>
        <v>17347</v>
      </c>
      <c r="AD65" s="63"/>
      <c r="AE65" s="91"/>
      <c r="AF65" s="81">
        <f>AC65+912</f>
        <v>18259</v>
      </c>
    </row>
    <row r="66" spans="1:32" x14ac:dyDescent="0.25">
      <c r="A66" s="19" t="s">
        <v>2</v>
      </c>
      <c r="B66" s="15"/>
      <c r="C66" s="15"/>
      <c r="D66" s="4">
        <f>D64/D65</f>
        <v>0</v>
      </c>
      <c r="E66" s="4">
        <f t="shared" ref="E66:AF66" si="35">E64/E65</f>
        <v>0</v>
      </c>
      <c r="F66" s="4">
        <f t="shared" si="35"/>
        <v>0</v>
      </c>
      <c r="G66" s="4">
        <f t="shared" si="35"/>
        <v>0</v>
      </c>
      <c r="H66" s="4">
        <f t="shared" si="35"/>
        <v>0</v>
      </c>
      <c r="I66" s="15"/>
      <c r="J66" s="15"/>
      <c r="K66" s="4">
        <f t="shared" si="35"/>
        <v>0</v>
      </c>
      <c r="L66" s="4">
        <f t="shared" si="35"/>
        <v>0</v>
      </c>
      <c r="M66" s="4">
        <f t="shared" si="35"/>
        <v>0</v>
      </c>
      <c r="N66" s="4">
        <f t="shared" si="35"/>
        <v>0</v>
      </c>
      <c r="O66" s="4">
        <f t="shared" si="35"/>
        <v>0</v>
      </c>
      <c r="P66" s="15"/>
      <c r="Q66" s="15"/>
      <c r="R66" s="4">
        <f t="shared" si="35"/>
        <v>0</v>
      </c>
      <c r="S66" s="4">
        <f t="shared" si="35"/>
        <v>0</v>
      </c>
      <c r="T66" s="4">
        <f t="shared" si="35"/>
        <v>0</v>
      </c>
      <c r="U66" s="4">
        <f t="shared" si="35"/>
        <v>0</v>
      </c>
      <c r="V66" s="4">
        <f t="shared" si="35"/>
        <v>0</v>
      </c>
      <c r="W66" s="15"/>
      <c r="X66" s="15"/>
      <c r="Y66" s="4">
        <f t="shared" si="35"/>
        <v>0</v>
      </c>
      <c r="Z66" s="53"/>
      <c r="AA66" s="4">
        <f t="shared" si="35"/>
        <v>0</v>
      </c>
      <c r="AB66" s="4">
        <f t="shared" si="35"/>
        <v>0</v>
      </c>
      <c r="AC66" s="4">
        <f t="shared" si="35"/>
        <v>0</v>
      </c>
      <c r="AD66" s="15"/>
      <c r="AE66" s="15"/>
      <c r="AF66" s="4">
        <f t="shared" si="35"/>
        <v>0</v>
      </c>
    </row>
    <row r="67" spans="1:32" ht="15.75" thickBot="1" x14ac:dyDescent="0.3">
      <c r="A67" s="20"/>
      <c r="B67" s="16"/>
      <c r="C67" s="16"/>
      <c r="D67" s="7"/>
      <c r="E67" s="26"/>
      <c r="F67" s="26"/>
      <c r="G67" s="7"/>
      <c r="H67" s="7"/>
      <c r="I67" s="16"/>
      <c r="J67" s="55"/>
      <c r="K67" s="73"/>
      <c r="L67" s="7"/>
      <c r="M67" s="7"/>
      <c r="N67" s="7"/>
      <c r="O67" s="7"/>
      <c r="P67" s="16"/>
      <c r="Q67" s="55"/>
      <c r="R67" s="73"/>
      <c r="S67" s="7"/>
      <c r="T67" s="7"/>
      <c r="U67" s="7"/>
      <c r="V67" s="7"/>
      <c r="W67" s="16"/>
      <c r="X67" s="55"/>
      <c r="Y67" s="73"/>
      <c r="Z67" s="54"/>
      <c r="AA67" s="82"/>
      <c r="AB67" s="82"/>
      <c r="AC67" s="7"/>
      <c r="AD67" s="16"/>
      <c r="AE67" s="55"/>
      <c r="AF67" s="73"/>
    </row>
    <row r="69" spans="1:32" ht="15.75" thickBot="1" x14ac:dyDescent="0.3"/>
    <row r="70" spans="1:32" x14ac:dyDescent="0.25">
      <c r="A70" s="18" t="s">
        <v>41</v>
      </c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N70" s="5">
        <v>13</v>
      </c>
      <c r="O70" s="5">
        <v>14</v>
      </c>
      <c r="P70" s="5">
        <v>15</v>
      </c>
      <c r="Q70" s="5">
        <v>16</v>
      </c>
      <c r="R70" s="5">
        <v>17</v>
      </c>
      <c r="S70" s="5">
        <v>18</v>
      </c>
      <c r="T70" s="5">
        <v>19</v>
      </c>
      <c r="U70" s="5">
        <v>20</v>
      </c>
      <c r="V70" s="5">
        <v>21</v>
      </c>
      <c r="W70" s="5">
        <v>22</v>
      </c>
      <c r="X70" s="5">
        <v>23</v>
      </c>
      <c r="Y70" s="5">
        <v>24</v>
      </c>
      <c r="Z70" s="5">
        <v>25</v>
      </c>
      <c r="AA70" s="79">
        <v>26</v>
      </c>
      <c r="AB70" s="79">
        <v>27</v>
      </c>
      <c r="AC70" s="5">
        <v>28</v>
      </c>
      <c r="AD70" s="5">
        <v>29</v>
      </c>
      <c r="AE70" s="5">
        <v>30</v>
      </c>
      <c r="AF70" s="6">
        <v>31</v>
      </c>
    </row>
    <row r="71" spans="1:32" x14ac:dyDescent="0.25">
      <c r="A71" s="19" t="s">
        <v>8</v>
      </c>
      <c r="B71" s="60"/>
      <c r="C71" s="60"/>
      <c r="D71" s="56"/>
      <c r="E71" s="56"/>
      <c r="F71" s="56"/>
      <c r="G71" s="56"/>
      <c r="H71" s="56"/>
      <c r="I71" s="60"/>
      <c r="J71" s="61"/>
      <c r="K71" s="69"/>
      <c r="L71" s="56"/>
      <c r="M71" s="56"/>
      <c r="N71" s="56"/>
      <c r="O71" s="56"/>
      <c r="P71" s="60"/>
      <c r="Q71" s="61"/>
      <c r="R71" s="69"/>
      <c r="S71" s="56"/>
      <c r="T71" s="56"/>
      <c r="U71" s="56"/>
      <c r="V71" s="56"/>
      <c r="W71" s="60"/>
      <c r="X71" s="61"/>
      <c r="Y71" s="69"/>
      <c r="Z71" s="59"/>
      <c r="AA71" s="80"/>
      <c r="AB71" s="80"/>
      <c r="AC71" s="56"/>
      <c r="AD71" s="60"/>
      <c r="AE71" s="61"/>
      <c r="AF71" s="69"/>
    </row>
    <row r="72" spans="1:32" x14ac:dyDescent="0.25">
      <c r="A72" s="19" t="s">
        <v>1</v>
      </c>
      <c r="B72" s="63"/>
      <c r="C72" s="63"/>
      <c r="D72" s="52">
        <v>861</v>
      </c>
      <c r="E72" s="52">
        <f>D72+861</f>
        <v>1722</v>
      </c>
      <c r="F72" s="52">
        <f t="shared" ref="F72:H72" si="36">E72+861</f>
        <v>2583</v>
      </c>
      <c r="G72" s="52">
        <f t="shared" si="36"/>
        <v>3444</v>
      </c>
      <c r="H72" s="52">
        <f t="shared" si="36"/>
        <v>4305</v>
      </c>
      <c r="I72" s="63"/>
      <c r="J72" s="64"/>
      <c r="K72" s="71">
        <f>H72+861</f>
        <v>5166</v>
      </c>
      <c r="L72" s="71">
        <f>K72+861</f>
        <v>6027</v>
      </c>
      <c r="M72" s="71">
        <f t="shared" ref="M72:O72" si="37">L72+861</f>
        <v>6888</v>
      </c>
      <c r="N72" s="71">
        <f t="shared" si="37"/>
        <v>7749</v>
      </c>
      <c r="O72" s="71">
        <f t="shared" si="37"/>
        <v>8610</v>
      </c>
      <c r="P72" s="63"/>
      <c r="Q72" s="64"/>
      <c r="R72" s="71">
        <f>O72+861</f>
        <v>9471</v>
      </c>
      <c r="S72" s="71">
        <f>R72+861</f>
        <v>10332</v>
      </c>
      <c r="T72" s="71">
        <f t="shared" ref="T72:V72" si="38">S72+861</f>
        <v>11193</v>
      </c>
      <c r="U72" s="71">
        <f t="shared" si="38"/>
        <v>12054</v>
      </c>
      <c r="V72" s="71">
        <f t="shared" si="38"/>
        <v>12915</v>
      </c>
      <c r="W72" s="63"/>
      <c r="X72" s="64"/>
      <c r="Y72" s="71">
        <f>V72+861</f>
        <v>13776</v>
      </c>
      <c r="Z72" s="62"/>
      <c r="AA72" s="71">
        <f>Y72+861</f>
        <v>14637</v>
      </c>
      <c r="AB72" s="71">
        <f>AA72+861</f>
        <v>15498</v>
      </c>
      <c r="AC72" s="71">
        <f>AB72+861</f>
        <v>16359</v>
      </c>
      <c r="AD72" s="63"/>
      <c r="AE72" s="91"/>
      <c r="AF72" s="81">
        <f>AC72+861</f>
        <v>17220</v>
      </c>
    </row>
    <row r="73" spans="1:32" x14ac:dyDescent="0.25">
      <c r="A73" s="19" t="s">
        <v>2</v>
      </c>
      <c r="B73" s="15"/>
      <c r="C73" s="15"/>
      <c r="D73" s="4">
        <f>D71/D72</f>
        <v>0</v>
      </c>
      <c r="E73" s="4">
        <f t="shared" ref="E73:AF73" si="39">E71/E72</f>
        <v>0</v>
      </c>
      <c r="F73" s="4">
        <f t="shared" si="39"/>
        <v>0</v>
      </c>
      <c r="G73" s="4">
        <f t="shared" si="39"/>
        <v>0</v>
      </c>
      <c r="H73" s="4">
        <f t="shared" si="39"/>
        <v>0</v>
      </c>
      <c r="I73" s="15"/>
      <c r="J73" s="15"/>
      <c r="K73" s="4">
        <f t="shared" si="39"/>
        <v>0</v>
      </c>
      <c r="L73" s="4">
        <f t="shared" si="39"/>
        <v>0</v>
      </c>
      <c r="M73" s="4">
        <f t="shared" si="39"/>
        <v>0</v>
      </c>
      <c r="N73" s="4">
        <f t="shared" si="39"/>
        <v>0</v>
      </c>
      <c r="O73" s="4">
        <f t="shared" si="39"/>
        <v>0</v>
      </c>
      <c r="P73" s="15"/>
      <c r="Q73" s="15"/>
      <c r="R73" s="4">
        <f t="shared" si="39"/>
        <v>0</v>
      </c>
      <c r="S73" s="4">
        <f t="shared" si="39"/>
        <v>0</v>
      </c>
      <c r="T73" s="4">
        <f t="shared" si="39"/>
        <v>0</v>
      </c>
      <c r="U73" s="4">
        <f t="shared" si="39"/>
        <v>0</v>
      </c>
      <c r="V73" s="4">
        <f t="shared" si="39"/>
        <v>0</v>
      </c>
      <c r="W73" s="15"/>
      <c r="X73" s="15"/>
      <c r="Y73" s="4">
        <f t="shared" si="39"/>
        <v>0</v>
      </c>
      <c r="Z73" s="53"/>
      <c r="AA73" s="4">
        <f t="shared" si="39"/>
        <v>0</v>
      </c>
      <c r="AB73" s="4">
        <f t="shared" si="39"/>
        <v>0</v>
      </c>
      <c r="AC73" s="4">
        <f t="shared" si="39"/>
        <v>0</v>
      </c>
      <c r="AD73" s="15"/>
      <c r="AE73" s="15"/>
      <c r="AF73" s="4">
        <f t="shared" si="39"/>
        <v>0</v>
      </c>
    </row>
    <row r="74" spans="1:32" ht="15.75" thickBot="1" x14ac:dyDescent="0.3">
      <c r="A74" s="20"/>
      <c r="B74" s="16"/>
      <c r="C74" s="16"/>
      <c r="D74" s="7"/>
      <c r="E74" s="26"/>
      <c r="F74" s="26"/>
      <c r="G74" s="7"/>
      <c r="H74" s="7"/>
      <c r="I74" s="16"/>
      <c r="J74" s="55"/>
      <c r="K74" s="73"/>
      <c r="L74" s="7"/>
      <c r="M74" s="7"/>
      <c r="N74" s="7"/>
      <c r="O74" s="7"/>
      <c r="P74" s="16"/>
      <c r="Q74" s="55"/>
      <c r="R74" s="73"/>
      <c r="S74" s="7"/>
      <c r="T74" s="7"/>
      <c r="U74" s="7"/>
      <c r="V74" s="7"/>
      <c r="W74" s="16"/>
      <c r="X74" s="55"/>
      <c r="Y74" s="73"/>
      <c r="Z74" s="54"/>
      <c r="AA74" s="82"/>
      <c r="AB74" s="82"/>
      <c r="AC74" s="7"/>
      <c r="AD74" s="16"/>
      <c r="AE74" s="55"/>
      <c r="AF74" s="73"/>
    </row>
  </sheetData>
  <mergeCells count="1">
    <mergeCell ref="C1:W1"/>
  </mergeCells>
  <pageMargins left="0.7" right="0.7" top="0.75" bottom="0.75" header="0.3" footer="0.3"/>
  <pageSetup paperSize="9"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75"/>
  <sheetViews>
    <sheetView zoomScale="80" zoomScaleNormal="80" zoomScalePageLayoutView="125" workbookViewId="0">
      <selection activeCell="B9" sqref="B9"/>
    </sheetView>
  </sheetViews>
  <sheetFormatPr baseColWidth="10" defaultRowHeight="15" x14ac:dyDescent="0.25"/>
  <cols>
    <col min="1" max="1" width="56.7109375" customWidth="1"/>
    <col min="2" max="13" width="15.7109375" customWidth="1"/>
    <col min="18" max="18" width="26.42578125" bestFit="1" customWidth="1"/>
  </cols>
  <sheetData>
    <row r="1" spans="1:18" ht="26.25" x14ac:dyDescent="0.4">
      <c r="C1" s="122" t="s">
        <v>0</v>
      </c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4" spans="1:18" ht="13.5" customHeight="1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6" spans="1:18" ht="15.75" thickBo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8"/>
      <c r="O6" s="8"/>
      <c r="P6" s="8"/>
      <c r="Q6" s="8"/>
      <c r="R6" s="8"/>
    </row>
    <row r="7" spans="1:18" x14ac:dyDescent="0.25">
      <c r="A7" s="18" t="s">
        <v>43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19</v>
      </c>
      <c r="M7" s="5" t="s">
        <v>20</v>
      </c>
      <c r="N7" s="9"/>
      <c r="O7" s="9"/>
      <c r="P7" s="9"/>
      <c r="Q7" s="28"/>
      <c r="R7" s="28"/>
    </row>
    <row r="8" spans="1:18" x14ac:dyDescent="0.25">
      <c r="A8" s="19" t="s">
        <v>8</v>
      </c>
      <c r="B8" s="101">
        <f>'Janvier 2018'!AF9</f>
        <v>128832</v>
      </c>
      <c r="C8" s="101">
        <f>B8+'Février 2018'!AC9</f>
        <v>245952</v>
      </c>
      <c r="D8" s="101">
        <f>C8+'Mars 2018'!AE9</f>
        <v>374784</v>
      </c>
      <c r="E8" s="101">
        <f>D8+'Avril 2018'!AE9</f>
        <v>491904</v>
      </c>
      <c r="F8" s="101">
        <f>E8+'Mai 2018'!AF9</f>
        <v>603168</v>
      </c>
      <c r="G8" s="101">
        <f>F8+'Juin 2018'!AD9</f>
        <v>726144</v>
      </c>
      <c r="H8" s="101">
        <f>G8+'Juillet 2018'!AF9</f>
        <v>854976</v>
      </c>
      <c r="I8" s="101">
        <f>H8+'Aout 2018'!AF9</f>
        <v>983808</v>
      </c>
      <c r="J8" s="101">
        <f>I8+'Septembre 2018'!AC9</f>
        <v>1100928</v>
      </c>
      <c r="K8" s="101">
        <f>J8+'Octobre 2018'!AF9</f>
        <v>1235616</v>
      </c>
      <c r="L8" s="101">
        <f>K8+'Novembre 2018'!AE9</f>
        <v>1358592</v>
      </c>
      <c r="M8" s="101">
        <f>L8+'Décembre 2018'!AF9</f>
        <v>1475712</v>
      </c>
      <c r="N8" s="2"/>
      <c r="O8" s="2"/>
      <c r="P8" s="2"/>
      <c r="Q8" s="2"/>
      <c r="R8" s="10"/>
    </row>
    <row r="9" spans="1:18" x14ac:dyDescent="0.25">
      <c r="A9" s="19" t="s">
        <v>1</v>
      </c>
      <c r="B9" s="101"/>
      <c r="C9" s="101">
        <f>B9+'Février 2018'!AC10</f>
        <v>0.9057291666666667</v>
      </c>
      <c r="D9" s="101">
        <f>C9+'Mars 2018'!AE10</f>
        <v>1.852132234227521</v>
      </c>
      <c r="E9" s="101">
        <f>D9+'Avril 2018'!AE10</f>
        <v>2.616391114008942</v>
      </c>
      <c r="F9" s="101">
        <f>E9+'Mai 2018'!AF10</f>
        <v>3.5641370156482863</v>
      </c>
      <c r="G9" s="101">
        <f>F9+'Juin 2018'!AD10</f>
        <v>4.449179625588437</v>
      </c>
      <c r="H9" s="101">
        <f>G9+'Juillet 2018'!AF10</f>
        <v>5.4498316375109406</v>
      </c>
      <c r="I9" s="101">
        <f>H9+'Aout 2018'!AF10</f>
        <v>5.4498316375109406</v>
      </c>
      <c r="J9" s="101">
        <f>I9+'Septembre 2018'!AC10</f>
        <v>5.4498316375109406</v>
      </c>
      <c r="K9" s="101">
        <f>J9+'Octobre 2018'!AF10</f>
        <v>5.4498316375109406</v>
      </c>
      <c r="L9" s="101">
        <f>K9+'Novembre 2018'!AE10</f>
        <v>5.4498316375109406</v>
      </c>
      <c r="M9" s="101">
        <f>L9+'Décembre 2018'!AF10</f>
        <v>5.4498316375109406</v>
      </c>
      <c r="N9" s="2"/>
      <c r="O9" s="2"/>
      <c r="P9" s="2"/>
      <c r="Q9" s="29"/>
      <c r="R9" s="29"/>
    </row>
    <row r="10" spans="1:18" x14ac:dyDescent="0.25">
      <c r="A10" s="19" t="s">
        <v>2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11"/>
      <c r="O10" s="11"/>
      <c r="P10" s="11"/>
      <c r="Q10" s="11"/>
      <c r="R10" s="11"/>
    </row>
    <row r="11" spans="1:18" ht="15.75" thickBot="1" x14ac:dyDescent="0.3">
      <c r="A11" s="20"/>
      <c r="B11" s="22"/>
      <c r="C11" s="22"/>
      <c r="D11" s="22"/>
      <c r="E11" s="23"/>
      <c r="F11" s="23"/>
      <c r="G11" s="22"/>
      <c r="H11" s="22"/>
      <c r="I11" s="22"/>
      <c r="J11" s="22"/>
      <c r="K11" s="22"/>
      <c r="L11" s="22"/>
      <c r="M11" s="22"/>
      <c r="N11" s="11"/>
      <c r="O11" s="11"/>
      <c r="P11" s="11"/>
      <c r="Q11" s="11"/>
      <c r="R11" s="11"/>
    </row>
    <row r="12" spans="1:18" ht="15.75" thickBot="1" x14ac:dyDescent="0.3">
      <c r="A12" s="12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8" x14ac:dyDescent="0.25">
      <c r="A13" s="18" t="s">
        <v>47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14</v>
      </c>
      <c r="H13" s="5" t="s">
        <v>15</v>
      </c>
      <c r="I13" s="5" t="s">
        <v>16</v>
      </c>
      <c r="J13" s="5" t="s">
        <v>17</v>
      </c>
      <c r="K13" s="5" t="s">
        <v>18</v>
      </c>
      <c r="L13" s="5" t="s">
        <v>19</v>
      </c>
      <c r="M13" s="5" t="s">
        <v>20</v>
      </c>
    </row>
    <row r="14" spans="1:18" x14ac:dyDescent="0.25">
      <c r="A14" s="19" t="s">
        <v>8</v>
      </c>
      <c r="B14" s="101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8" x14ac:dyDescent="0.25">
      <c r="A15" s="19" t="s">
        <v>1</v>
      </c>
      <c r="B15" s="84">
        <f>'Janvier 2018'!AF16</f>
        <v>17424</v>
      </c>
      <c r="C15" s="84">
        <f>B15+'Février 2018'!AC16</f>
        <v>33264</v>
      </c>
      <c r="D15" s="84">
        <f>C15+'Mars 2018'!AE16</f>
        <v>50688</v>
      </c>
      <c r="E15" s="84">
        <f>D15+'Avril 2018'!AE16</f>
        <v>66528</v>
      </c>
      <c r="F15" s="84">
        <f>E15+'Mai 2018'!AF16</f>
        <v>81576</v>
      </c>
      <c r="G15" s="84">
        <f>F15+'Juin 2018'!AD16</f>
        <v>98208</v>
      </c>
      <c r="H15" s="84">
        <f>G15+'Juillet 2018'!AF16</f>
        <v>115632</v>
      </c>
      <c r="I15" s="84">
        <f>H15+'Aout 2018'!AF16</f>
        <v>133056</v>
      </c>
      <c r="J15" s="84">
        <f>I15+'Septembre 2018'!AC16</f>
        <v>148896</v>
      </c>
      <c r="K15" s="84">
        <f>J15+'Octobre 2018'!AF16</f>
        <v>167112</v>
      </c>
      <c r="L15" s="84">
        <f>K15+'Novembre 2018'!AE16</f>
        <v>183744</v>
      </c>
      <c r="M15" s="84">
        <f>L15+'Décembre 2018'!AF16</f>
        <v>199584</v>
      </c>
    </row>
    <row r="16" spans="1:18" x14ac:dyDescent="0.25">
      <c r="A16" s="19" t="s">
        <v>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6" ht="15.75" thickBot="1" x14ac:dyDescent="0.3">
      <c r="A17" s="20"/>
      <c r="B17" s="22"/>
      <c r="C17" s="22"/>
      <c r="D17" s="22"/>
      <c r="E17" s="23"/>
      <c r="F17" s="23"/>
      <c r="G17" s="22"/>
      <c r="H17" s="22"/>
      <c r="I17" s="22"/>
      <c r="J17" s="22"/>
      <c r="K17" s="22"/>
      <c r="L17" s="22"/>
      <c r="M17" s="22"/>
    </row>
    <row r="18" spans="1:16" ht="15.75" thickBo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P18" s="39"/>
    </row>
    <row r="19" spans="1:16" x14ac:dyDescent="0.25">
      <c r="A19" s="18" t="s">
        <v>3</v>
      </c>
      <c r="B19" s="5" t="s">
        <v>9</v>
      </c>
      <c r="C19" s="5" t="s">
        <v>10</v>
      </c>
      <c r="D19" s="5" t="s">
        <v>11</v>
      </c>
      <c r="E19" s="5" t="s">
        <v>12</v>
      </c>
      <c r="F19" s="5" t="s">
        <v>13</v>
      </c>
      <c r="G19" s="5" t="s">
        <v>14</v>
      </c>
      <c r="H19" s="5" t="s">
        <v>15</v>
      </c>
      <c r="I19" s="5" t="s">
        <v>16</v>
      </c>
      <c r="J19" s="5" t="s">
        <v>17</v>
      </c>
      <c r="K19" s="5" t="s">
        <v>18</v>
      </c>
      <c r="L19" s="5" t="s">
        <v>19</v>
      </c>
      <c r="M19" s="5" t="s">
        <v>20</v>
      </c>
      <c r="P19" s="39"/>
    </row>
    <row r="20" spans="1:16" x14ac:dyDescent="0.25">
      <c r="A20" s="19" t="s">
        <v>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6" x14ac:dyDescent="0.25">
      <c r="A21" s="19" t="s">
        <v>1</v>
      </c>
      <c r="B21" s="84">
        <f>'Janvier 2018'!AF23</f>
        <v>60704</v>
      </c>
      <c r="C21" s="84">
        <f>B21+'Février 2018'!AC23</f>
        <v>118633</v>
      </c>
      <c r="D21" s="84">
        <f>C21+'Mars 2018'!AE23</f>
        <v>181927</v>
      </c>
      <c r="E21" s="84">
        <f>D21+'Avril 2018'!AE23</f>
        <v>239467</v>
      </c>
      <c r="F21" s="84">
        <f>E21+'Mai 2018'!AF23</f>
        <v>294130</v>
      </c>
      <c r="G21" s="84">
        <f>F21+'Juin 2018'!AD23</f>
        <v>354547</v>
      </c>
      <c r="H21" s="84">
        <f>G21+'Juillet 2018'!AF23</f>
        <v>417841</v>
      </c>
      <c r="I21" s="84">
        <f>H21+'Aout 2018'!AF23</f>
        <v>481135</v>
      </c>
      <c r="J21" s="84">
        <f>I21+'Septembre 2018'!AC23</f>
        <v>538675</v>
      </c>
      <c r="K21" s="84">
        <f>J21+'Octobre 2018'!AF23</f>
        <v>604846</v>
      </c>
      <c r="L21" s="84">
        <f>K21+'Novembre 2018'!AE23</f>
        <v>665263</v>
      </c>
      <c r="M21" s="84">
        <f>L21+'Décembre 2018'!AF23</f>
        <v>722803</v>
      </c>
    </row>
    <row r="22" spans="1:16" x14ac:dyDescent="0.25">
      <c r="A22" s="19" t="s">
        <v>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6" ht="15.75" thickBot="1" x14ac:dyDescent="0.3">
      <c r="A23" s="20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P23" s="39"/>
    </row>
    <row r="24" spans="1:16" x14ac:dyDescent="0.25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6" ht="15.75" thickBot="1" x14ac:dyDescent="0.3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6" x14ac:dyDescent="0.25">
      <c r="A26" s="18" t="s">
        <v>4</v>
      </c>
      <c r="B26" s="5" t="s">
        <v>9</v>
      </c>
      <c r="C26" s="5" t="s">
        <v>10</v>
      </c>
      <c r="D26" s="5" t="s">
        <v>11</v>
      </c>
      <c r="E26" s="5" t="s">
        <v>12</v>
      </c>
      <c r="F26" s="5" t="s">
        <v>13</v>
      </c>
      <c r="G26" s="5" t="s">
        <v>14</v>
      </c>
      <c r="H26" s="5" t="s">
        <v>15</v>
      </c>
      <c r="I26" s="5" t="s">
        <v>16</v>
      </c>
      <c r="J26" s="5" t="s">
        <v>17</v>
      </c>
      <c r="K26" s="5" t="s">
        <v>18</v>
      </c>
      <c r="L26" s="5" t="s">
        <v>19</v>
      </c>
      <c r="M26" s="5" t="s">
        <v>20</v>
      </c>
    </row>
    <row r="27" spans="1:16" x14ac:dyDescent="0.25">
      <c r="A27" s="19" t="s">
        <v>8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6" x14ac:dyDescent="0.25">
      <c r="A28" s="19" t="s">
        <v>1</v>
      </c>
      <c r="B28" s="84">
        <f>'Janvier 2018'!AF30</f>
        <v>38940</v>
      </c>
      <c r="C28" s="84">
        <f>B28+'Février 2018'!AC30</f>
        <v>74340</v>
      </c>
      <c r="D28" s="84">
        <f>C28+'Mars 2018'!AE30</f>
        <v>113280</v>
      </c>
      <c r="E28" s="84">
        <f>D28+'Avril 2018'!AE30</f>
        <v>148680</v>
      </c>
      <c r="F28" s="84">
        <f>E28+'Mai 2018'!AF30</f>
        <v>182310</v>
      </c>
      <c r="G28" s="84">
        <f>F28+'Juin 2018'!AD30</f>
        <v>219480</v>
      </c>
      <c r="H28" s="84">
        <f>G28+'Juillet 2018'!AF30</f>
        <v>258420</v>
      </c>
      <c r="I28" s="84">
        <f>H28+'Aout 2018'!AF30</f>
        <v>297360</v>
      </c>
      <c r="J28" s="84">
        <f>I28+'Septembre 2018'!AC30</f>
        <v>332760</v>
      </c>
      <c r="K28" s="84">
        <f>J28+'Octobre 2018'!AF30</f>
        <v>373470</v>
      </c>
      <c r="L28" s="84">
        <f>K28+'Novembre 2018'!AE30</f>
        <v>410640</v>
      </c>
      <c r="M28" s="84">
        <f>L28+'Décembre 2018'!AF30</f>
        <v>446040</v>
      </c>
    </row>
    <row r="29" spans="1:16" x14ac:dyDescent="0.25">
      <c r="A29" s="19" t="s">
        <v>2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6" ht="15.75" thickBot="1" x14ac:dyDescent="0.3">
      <c r="A30" s="20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2" spans="1:16" ht="15.75" thickBot="1" x14ac:dyDescent="0.3"/>
    <row r="33" spans="1:13" x14ac:dyDescent="0.25">
      <c r="A33" s="18" t="s">
        <v>45</v>
      </c>
      <c r="B33" s="5" t="s">
        <v>9</v>
      </c>
      <c r="C33" s="5" t="s">
        <v>10</v>
      </c>
      <c r="D33" s="5" t="s">
        <v>11</v>
      </c>
      <c r="E33" s="5" t="s">
        <v>12</v>
      </c>
      <c r="F33" s="5" t="s">
        <v>13</v>
      </c>
      <c r="G33" s="5" t="s">
        <v>14</v>
      </c>
      <c r="H33" s="5" t="s">
        <v>15</v>
      </c>
      <c r="I33" s="5" t="s">
        <v>16</v>
      </c>
      <c r="J33" s="5" t="s">
        <v>17</v>
      </c>
      <c r="K33" s="5" t="s">
        <v>18</v>
      </c>
      <c r="L33" s="5" t="s">
        <v>19</v>
      </c>
      <c r="M33" s="5" t="s">
        <v>20</v>
      </c>
    </row>
    <row r="34" spans="1:13" x14ac:dyDescent="0.25">
      <c r="A34" s="19" t="s">
        <v>8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25">
      <c r="A35" s="19" t="s">
        <v>1</v>
      </c>
      <c r="B35" s="84">
        <f>'Janvier 2018'!AF37</f>
        <v>71764</v>
      </c>
      <c r="C35" s="84">
        <f>B35+'Février 2018'!AC37</f>
        <v>137004</v>
      </c>
      <c r="D35" s="84">
        <f>C35+'Mars 2018'!AE37</f>
        <v>208768</v>
      </c>
      <c r="E35" s="84">
        <f>D35+'Avril 2018'!AE37</f>
        <v>274008</v>
      </c>
      <c r="F35" s="84">
        <f>E35+'Mai 2018'!AF37</f>
        <v>335986</v>
      </c>
      <c r="G35" s="84">
        <f>F35+'Juin 2018'!AD37</f>
        <v>404488</v>
      </c>
      <c r="H35" s="84">
        <f>G35+'Juillet 2018'!AF37</f>
        <v>476252</v>
      </c>
      <c r="I35" s="84">
        <f>H35+'Aout 2018'!AF37</f>
        <v>548016</v>
      </c>
      <c r="J35" s="84">
        <f>I35+'Septembre 2018'!AC37</f>
        <v>613256</v>
      </c>
      <c r="K35" s="84">
        <f>J35+'Octobre 2018'!AF37</f>
        <v>688282</v>
      </c>
      <c r="L35" s="84">
        <f>K35+'Novembre 2018'!AE37</f>
        <v>756784</v>
      </c>
      <c r="M35" s="84">
        <f>L35+'Décembre 2018'!AF37</f>
        <v>822024</v>
      </c>
    </row>
    <row r="36" spans="1:13" x14ac:dyDescent="0.25">
      <c r="A36" s="19" t="s">
        <v>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 ht="15.75" thickBot="1" x14ac:dyDescent="0.3">
      <c r="A37" s="20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ht="15.75" thickBot="1" x14ac:dyDescent="0.3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3" x14ac:dyDescent="0.25">
      <c r="A39" s="18" t="s">
        <v>46</v>
      </c>
      <c r="B39" s="5" t="s">
        <v>9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14</v>
      </c>
      <c r="H39" s="5" t="s">
        <v>15</v>
      </c>
      <c r="I39" s="5" t="s">
        <v>16</v>
      </c>
      <c r="J39" s="5" t="s">
        <v>17</v>
      </c>
      <c r="K39" s="5" t="s">
        <v>18</v>
      </c>
      <c r="L39" s="5" t="s">
        <v>19</v>
      </c>
      <c r="M39" s="5" t="s">
        <v>20</v>
      </c>
    </row>
    <row r="40" spans="1:13" x14ac:dyDescent="0.25">
      <c r="A40" s="19" t="s">
        <v>8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</row>
    <row r="41" spans="1:13" x14ac:dyDescent="0.25">
      <c r="A41" s="19" t="s">
        <v>1</v>
      </c>
      <c r="B41" s="84">
        <f>'Janvier 2018'!AF44</f>
        <v>16082</v>
      </c>
      <c r="C41" s="84">
        <f>B41+'Février 2018'!AC44</f>
        <v>30702</v>
      </c>
      <c r="D41" s="84">
        <f>C41+'Mars 2018'!AE44</f>
        <v>46784</v>
      </c>
      <c r="E41" s="84">
        <f>D41+'Avril 2018'!AE44</f>
        <v>61404</v>
      </c>
      <c r="F41" s="84">
        <f>E41+'Mai 2018'!AF44</f>
        <v>75293</v>
      </c>
      <c r="G41" s="84">
        <f>F41+'Juin 2018'!AD44</f>
        <v>90644</v>
      </c>
      <c r="H41" s="84">
        <f>G41+'Juillet 2018'!AF44</f>
        <v>106726</v>
      </c>
      <c r="I41" s="84">
        <f>H41+'Aout 2018'!AF44</f>
        <v>122808</v>
      </c>
      <c r="J41" s="84">
        <f>I41+'Septembre 2018'!AC44</f>
        <v>137428</v>
      </c>
      <c r="K41" s="84">
        <f>J41+'Octobre 2018'!AF44</f>
        <v>154241</v>
      </c>
      <c r="L41" s="84">
        <f>K41+'Novembre 2018'!AE44</f>
        <v>169592</v>
      </c>
      <c r="M41" s="84">
        <f>L41+'Décembre 2018'!AF44</f>
        <v>184212</v>
      </c>
    </row>
    <row r="42" spans="1:13" x14ac:dyDescent="0.25">
      <c r="A42" s="19" t="s">
        <v>2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ht="15.75" thickBot="1" x14ac:dyDescent="0.3">
      <c r="A43" s="20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ht="15.75" thickBot="1" x14ac:dyDescent="0.3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</row>
    <row r="45" spans="1:13" x14ac:dyDescent="0.25">
      <c r="A45" s="18" t="s">
        <v>5</v>
      </c>
      <c r="B45" s="5" t="s">
        <v>9</v>
      </c>
      <c r="C45" s="5" t="s">
        <v>10</v>
      </c>
      <c r="D45" s="5" t="s">
        <v>11</v>
      </c>
      <c r="E45" s="5" t="s">
        <v>12</v>
      </c>
      <c r="F45" s="5" t="s">
        <v>13</v>
      </c>
      <c r="G45" s="5" t="s">
        <v>14</v>
      </c>
      <c r="H45" s="5" t="s">
        <v>15</v>
      </c>
      <c r="I45" s="5" t="s">
        <v>16</v>
      </c>
      <c r="J45" s="5" t="s">
        <v>17</v>
      </c>
      <c r="K45" s="5" t="s">
        <v>18</v>
      </c>
      <c r="L45" s="5" t="s">
        <v>19</v>
      </c>
      <c r="M45" s="5" t="s">
        <v>20</v>
      </c>
    </row>
    <row r="46" spans="1:13" x14ac:dyDescent="0.25">
      <c r="A46" s="19" t="s">
        <v>8</v>
      </c>
      <c r="B46" s="101"/>
      <c r="C46" s="101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1:13" x14ac:dyDescent="0.25">
      <c r="A47" s="19" t="s">
        <v>1</v>
      </c>
      <c r="B47" s="25">
        <f>'Janvier 2018'!AF50</f>
        <v>11330</v>
      </c>
      <c r="C47" s="84">
        <f>B47+'Février 2018'!AC50</f>
        <v>21630</v>
      </c>
      <c r="D47" s="84">
        <f>C47+'Mars 2018'!AE50</f>
        <v>32960</v>
      </c>
      <c r="E47" s="84">
        <f>D47+'Avril 2018'!AE50</f>
        <v>43260</v>
      </c>
      <c r="F47" s="84">
        <f>E47+'Mai 2018'!AF50</f>
        <v>53045</v>
      </c>
      <c r="G47" s="84">
        <f>F47+'Juin 2018'!AD50</f>
        <v>63860</v>
      </c>
      <c r="H47" s="84">
        <f>G47+'Juillet 2018'!AF50</f>
        <v>75190</v>
      </c>
      <c r="I47" s="84">
        <f>H47+'Aout 2018'!K50</f>
        <v>79310</v>
      </c>
      <c r="J47" s="84">
        <f>I47+'Septembre 2018'!AC50</f>
        <v>89610</v>
      </c>
      <c r="K47" s="84">
        <f>J47+'Octobre 2018'!AF50</f>
        <v>101455</v>
      </c>
      <c r="L47" s="84">
        <f>K47+'Novembre 2018'!AE50</f>
        <v>112500</v>
      </c>
      <c r="M47" s="84">
        <f>L47+'Décembre 2018'!V50</f>
        <v>120225</v>
      </c>
    </row>
    <row r="48" spans="1:13" x14ac:dyDescent="0.25">
      <c r="A48" s="19" t="s">
        <v>2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ht="15.75" thickBot="1" x14ac:dyDescent="0.3">
      <c r="A49" s="20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1" spans="1:13" ht="15.75" thickBot="1" x14ac:dyDescent="0.3"/>
    <row r="52" spans="1:13" x14ac:dyDescent="0.25">
      <c r="A52" s="18" t="s">
        <v>6</v>
      </c>
      <c r="B52" s="5" t="s">
        <v>9</v>
      </c>
      <c r="C52" s="5" t="s">
        <v>10</v>
      </c>
      <c r="D52" s="5" t="s">
        <v>11</v>
      </c>
      <c r="E52" s="5" t="s">
        <v>12</v>
      </c>
      <c r="F52" s="5" t="s">
        <v>13</v>
      </c>
      <c r="G52" s="5" t="s">
        <v>14</v>
      </c>
      <c r="H52" s="5" t="s">
        <v>15</v>
      </c>
      <c r="I52" s="5" t="s">
        <v>16</v>
      </c>
      <c r="J52" s="5" t="s">
        <v>17</v>
      </c>
      <c r="K52" s="5" t="s">
        <v>18</v>
      </c>
      <c r="L52" s="5" t="s">
        <v>19</v>
      </c>
      <c r="M52" s="5" t="s">
        <v>20</v>
      </c>
    </row>
    <row r="53" spans="1:13" x14ac:dyDescent="0.25">
      <c r="A53" s="19" t="s">
        <v>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</row>
    <row r="54" spans="1:13" x14ac:dyDescent="0.25">
      <c r="A54" s="19" t="s">
        <v>1</v>
      </c>
      <c r="B54" s="25" t="e">
        <f>'Janvier 2018'!#REF!</f>
        <v>#REF!</v>
      </c>
      <c r="C54" s="84" t="e">
        <f>B54+'Février 2018'!AC44</f>
        <v>#REF!</v>
      </c>
      <c r="D54" s="84" t="e">
        <f>C54+'Mars 2018'!AF44</f>
        <v>#REF!</v>
      </c>
      <c r="E54" s="84" t="e">
        <f>D54+'Avril 2018'!AC44</f>
        <v>#REF!</v>
      </c>
      <c r="F54" s="84" t="e">
        <f>E54+'Mai 2018'!AF44</f>
        <v>#REF!</v>
      </c>
      <c r="G54" s="84" t="e">
        <f>F54+'Juin 2018'!AE44</f>
        <v>#REF!</v>
      </c>
      <c r="H54" s="84" t="e">
        <f>G54+'Juillet 2018'!AF44</f>
        <v>#REF!</v>
      </c>
      <c r="I54" s="84" t="e">
        <f>H54+'Aout 2018'!AF44</f>
        <v>#REF!</v>
      </c>
      <c r="J54" s="84" t="e">
        <f>I54+'Septembre 2018'!AD44</f>
        <v>#REF!</v>
      </c>
      <c r="K54" s="84" t="e">
        <f>J54+'Octobre 2018'!AF44</f>
        <v>#REF!</v>
      </c>
      <c r="L54" s="84" t="e">
        <f>K54+'Novembre 2018'!AE44</f>
        <v>#REF!</v>
      </c>
      <c r="M54" s="84" t="e">
        <f>L54+'Décembre 2018'!W44</f>
        <v>#REF!</v>
      </c>
    </row>
    <row r="55" spans="1:13" x14ac:dyDescent="0.25">
      <c r="A55" s="19" t="s">
        <v>2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 ht="15.75" thickBot="1" x14ac:dyDescent="0.3">
      <c r="A56" s="20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8" spans="1:13" ht="15.75" thickBot="1" x14ac:dyDescent="0.3"/>
    <row r="59" spans="1:13" x14ac:dyDescent="0.25">
      <c r="A59" s="18" t="s">
        <v>7</v>
      </c>
      <c r="B59" s="5" t="s">
        <v>9</v>
      </c>
      <c r="C59" s="5" t="s">
        <v>10</v>
      </c>
      <c r="D59" s="5" t="s">
        <v>11</v>
      </c>
      <c r="E59" s="5" t="s">
        <v>12</v>
      </c>
      <c r="F59" s="5" t="s">
        <v>13</v>
      </c>
      <c r="G59" s="5" t="s">
        <v>14</v>
      </c>
      <c r="H59" s="5" t="s">
        <v>15</v>
      </c>
      <c r="I59" s="5" t="s">
        <v>16</v>
      </c>
      <c r="J59" s="5" t="s">
        <v>17</v>
      </c>
      <c r="K59" s="5" t="s">
        <v>18</v>
      </c>
      <c r="L59" s="5" t="s">
        <v>19</v>
      </c>
      <c r="M59" s="5" t="s">
        <v>20</v>
      </c>
    </row>
    <row r="60" spans="1:13" x14ac:dyDescent="0.25">
      <c r="A60" s="19" t="s">
        <v>8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1:13" x14ac:dyDescent="0.25">
      <c r="A61" s="19" t="s">
        <v>1</v>
      </c>
      <c r="B61" s="25"/>
      <c r="C61" s="25">
        <f>B61+'Février 2018'!AC51</f>
        <v>1.0149514563106796</v>
      </c>
      <c r="D61" s="25">
        <f>C61+'Mars 2018'!AF51</f>
        <v>1.0149514563106796</v>
      </c>
      <c r="E61" s="25">
        <f>D61+'Avril 2018'!AC51</f>
        <v>1.0149514563106796</v>
      </c>
      <c r="F61" s="25">
        <f>E61+'Mai 2018'!AF51</f>
        <v>2.0313030148186</v>
      </c>
      <c r="G61" s="25">
        <f>F61+'Juin 2018'!AE51</f>
        <v>2.0313030148186</v>
      </c>
      <c r="H61" s="25">
        <f>G61+'Juillet 2018'!AF51</f>
        <v>3.1513383193199238</v>
      </c>
      <c r="I61" s="25">
        <f>H61+'Aout 2018'!AF51</f>
        <v>3.1513383193199238</v>
      </c>
      <c r="J61" s="25">
        <f>I61+'Septembre 2018'!AD51</f>
        <v>3.1513383193199238</v>
      </c>
      <c r="K61" s="25">
        <f>J61+'Octobre 2018'!AF51</f>
        <v>3.1513383193199238</v>
      </c>
      <c r="L61" s="25">
        <f>K61+'Novembre 2018'!AE51</f>
        <v>3.1513383193199238</v>
      </c>
      <c r="M61" s="25">
        <f>L61+'Décembre 2018'!AD51</f>
        <v>3.1513383193199238</v>
      </c>
    </row>
    <row r="62" spans="1:13" x14ac:dyDescent="0.25">
      <c r="A62" s="19" t="s">
        <v>2</v>
      </c>
      <c r="B62" s="21" t="e">
        <f>B60/B61</f>
        <v>#DIV/0!</v>
      </c>
      <c r="C62" s="21">
        <f t="shared" ref="C62:M62" si="0">C60/C61</f>
        <v>0</v>
      </c>
      <c r="D62" s="21">
        <f t="shared" si="0"/>
        <v>0</v>
      </c>
      <c r="E62" s="21">
        <f t="shared" si="0"/>
        <v>0</v>
      </c>
      <c r="F62" s="21">
        <f t="shared" si="0"/>
        <v>0</v>
      </c>
      <c r="G62" s="21">
        <f t="shared" si="0"/>
        <v>0</v>
      </c>
      <c r="H62" s="21">
        <f t="shared" si="0"/>
        <v>0</v>
      </c>
      <c r="I62" s="21">
        <f t="shared" si="0"/>
        <v>0</v>
      </c>
      <c r="J62" s="21">
        <f t="shared" si="0"/>
        <v>0</v>
      </c>
      <c r="K62" s="21">
        <f t="shared" si="0"/>
        <v>0</v>
      </c>
      <c r="L62" s="21">
        <f t="shared" si="0"/>
        <v>0</v>
      </c>
      <c r="M62" s="21">
        <f t="shared" si="0"/>
        <v>0</v>
      </c>
    </row>
    <row r="63" spans="1:13" ht="15.75" thickBot="1" x14ac:dyDescent="0.3">
      <c r="A63" s="20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13" ht="15.75" thickBot="1" x14ac:dyDescent="0.3"/>
    <row r="65" spans="1:13" x14ac:dyDescent="0.25">
      <c r="A65" s="18" t="s">
        <v>40</v>
      </c>
      <c r="B65" s="5" t="s">
        <v>9</v>
      </c>
      <c r="C65" s="5" t="s">
        <v>10</v>
      </c>
      <c r="D65" s="5" t="s">
        <v>11</v>
      </c>
      <c r="E65" s="5" t="s">
        <v>12</v>
      </c>
      <c r="F65" s="5" t="s">
        <v>13</v>
      </c>
      <c r="G65" s="5" t="s">
        <v>14</v>
      </c>
      <c r="H65" s="5" t="s">
        <v>15</v>
      </c>
      <c r="I65" s="5" t="s">
        <v>16</v>
      </c>
      <c r="J65" s="5" t="s">
        <v>17</v>
      </c>
      <c r="K65" s="5" t="s">
        <v>18</v>
      </c>
      <c r="L65" s="5" t="s">
        <v>19</v>
      </c>
      <c r="M65" s="5" t="s">
        <v>20</v>
      </c>
    </row>
    <row r="66" spans="1:13" x14ac:dyDescent="0.25">
      <c r="A66" s="19" t="s">
        <v>8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1:13" x14ac:dyDescent="0.25">
      <c r="A67" s="19" t="s">
        <v>1</v>
      </c>
      <c r="B67" s="84">
        <f>'Janvier 2018'!AF64</f>
        <v>19264</v>
      </c>
      <c r="C67" s="84">
        <f>B67+'Février 2018'!AC64</f>
        <v>37524</v>
      </c>
      <c r="D67" s="84">
        <f>C67+'Mars 2018'!AE64</f>
        <v>57610</v>
      </c>
      <c r="E67" s="84">
        <f>D67+'Avril 2018'!AE64</f>
        <v>75870</v>
      </c>
      <c r="F67" s="84">
        <f>E67+'Mai 2018'!AF64</f>
        <v>93217</v>
      </c>
      <c r="G67" s="84">
        <f>F67+'Juin 2018'!AD64</f>
        <v>112390</v>
      </c>
      <c r="H67" s="84">
        <f>G67+'Juillet 2018'!AF64</f>
        <v>132476</v>
      </c>
      <c r="I67" s="84">
        <f>H67+'Aout 2018'!AF64</f>
        <v>152562</v>
      </c>
      <c r="J67" s="84">
        <f>I67+'Septembre 2018'!AC65</f>
        <v>170822</v>
      </c>
      <c r="K67" s="84">
        <f>J67+'Octobre 2018'!AF65</f>
        <v>191821</v>
      </c>
      <c r="L67" s="84">
        <f>K67+'Novembre 2018'!AE65</f>
        <v>210994</v>
      </c>
      <c r="M67" s="84">
        <f>L67+'Décembre 2018'!AF65</f>
        <v>229253</v>
      </c>
    </row>
    <row r="68" spans="1:13" x14ac:dyDescent="0.25">
      <c r="A68" s="19" t="s">
        <v>2</v>
      </c>
      <c r="B68" s="21">
        <f>B66/B67</f>
        <v>0</v>
      </c>
      <c r="C68" s="21">
        <f t="shared" ref="C68:M68" si="1">C66/C67</f>
        <v>0</v>
      </c>
      <c r="D68" s="21">
        <f t="shared" si="1"/>
        <v>0</v>
      </c>
      <c r="E68" s="21">
        <f t="shared" si="1"/>
        <v>0</v>
      </c>
      <c r="F68" s="21">
        <f t="shared" si="1"/>
        <v>0</v>
      </c>
      <c r="G68" s="21">
        <f t="shared" si="1"/>
        <v>0</v>
      </c>
      <c r="H68" s="21">
        <f t="shared" si="1"/>
        <v>0</v>
      </c>
      <c r="I68" s="21">
        <f t="shared" si="1"/>
        <v>0</v>
      </c>
      <c r="J68" s="21">
        <f t="shared" si="1"/>
        <v>0</v>
      </c>
      <c r="K68" s="21">
        <f t="shared" si="1"/>
        <v>0</v>
      </c>
      <c r="L68" s="21">
        <f t="shared" si="1"/>
        <v>0</v>
      </c>
      <c r="M68" s="21">
        <f t="shared" si="1"/>
        <v>0</v>
      </c>
    </row>
    <row r="69" spans="1:13" ht="15.75" thickBot="1" x14ac:dyDescent="0.3">
      <c r="A69" s="20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ht="15.75" thickBot="1" x14ac:dyDescent="0.3"/>
    <row r="71" spans="1:13" x14ac:dyDescent="0.25">
      <c r="A71" s="18" t="s">
        <v>48</v>
      </c>
      <c r="B71" s="5" t="s">
        <v>9</v>
      </c>
      <c r="C71" s="5" t="s">
        <v>10</v>
      </c>
      <c r="D71" s="5" t="s">
        <v>11</v>
      </c>
      <c r="E71" s="5" t="s">
        <v>12</v>
      </c>
      <c r="F71" s="5" t="s">
        <v>13</v>
      </c>
      <c r="G71" s="5" t="s">
        <v>14</v>
      </c>
      <c r="H71" s="5" t="s">
        <v>15</v>
      </c>
      <c r="I71" s="5" t="s">
        <v>16</v>
      </c>
      <c r="J71" s="5" t="s">
        <v>17</v>
      </c>
      <c r="K71" s="5" t="s">
        <v>18</v>
      </c>
      <c r="L71" s="5" t="s">
        <v>19</v>
      </c>
      <c r="M71" s="5" t="s">
        <v>20</v>
      </c>
    </row>
    <row r="72" spans="1:13" x14ac:dyDescent="0.25">
      <c r="A72" s="19" t="s">
        <v>8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</row>
    <row r="73" spans="1:13" x14ac:dyDescent="0.25">
      <c r="A73" s="19" t="s">
        <v>1</v>
      </c>
      <c r="B73" s="84">
        <f>'Janvier 2018'!AF71</f>
        <v>18942</v>
      </c>
      <c r="C73" s="84">
        <f>B73+'Février 2018'!AC71</f>
        <v>36162</v>
      </c>
      <c r="D73" s="84">
        <f>C73+'Mars 2018'!AE71</f>
        <v>55104</v>
      </c>
      <c r="E73" s="84">
        <f>D73+'Avril 2018'!AE71</f>
        <v>72324</v>
      </c>
      <c r="F73" s="84">
        <f>E73+'Mai 2018'!AF71</f>
        <v>88683</v>
      </c>
      <c r="G73" s="84">
        <f>F73+'Juin 2018'!AD71</f>
        <v>106764</v>
      </c>
      <c r="H73" s="84">
        <f>G73+'Juillet 2018'!AF71</f>
        <v>125706</v>
      </c>
      <c r="I73" s="84">
        <f>H73+'Aout 2018'!AF71</f>
        <v>144648</v>
      </c>
      <c r="J73" s="84">
        <f>I73+'Septembre 2018'!AC72</f>
        <v>161868</v>
      </c>
      <c r="K73" s="84">
        <f>J73+'Octobre 2018'!AF72</f>
        <v>181671</v>
      </c>
      <c r="L73" s="84">
        <f>K73+'Novembre 2018'!AE72</f>
        <v>199752</v>
      </c>
      <c r="M73" s="84">
        <f>L73+'Décembre 2018'!AF72</f>
        <v>216972</v>
      </c>
    </row>
    <row r="74" spans="1:13" x14ac:dyDescent="0.25">
      <c r="A74" s="19" t="s">
        <v>2</v>
      </c>
      <c r="B74" s="21">
        <f>B72/B73</f>
        <v>0</v>
      </c>
      <c r="C74" s="21">
        <f t="shared" ref="C74:M74" si="2">C72/C73</f>
        <v>0</v>
      </c>
      <c r="D74" s="21">
        <f t="shared" si="2"/>
        <v>0</v>
      </c>
      <c r="E74" s="21">
        <f t="shared" si="2"/>
        <v>0</v>
      </c>
      <c r="F74" s="21">
        <f t="shared" si="2"/>
        <v>0</v>
      </c>
      <c r="G74" s="21">
        <f t="shared" si="2"/>
        <v>0</v>
      </c>
      <c r="H74" s="21">
        <f t="shared" si="2"/>
        <v>0</v>
      </c>
      <c r="I74" s="21">
        <f t="shared" si="2"/>
        <v>0</v>
      </c>
      <c r="J74" s="21">
        <f t="shared" si="2"/>
        <v>0</v>
      </c>
      <c r="K74" s="21">
        <f t="shared" si="2"/>
        <v>0</v>
      </c>
      <c r="L74" s="21">
        <f t="shared" si="2"/>
        <v>0</v>
      </c>
      <c r="M74" s="21">
        <f t="shared" si="2"/>
        <v>0</v>
      </c>
    </row>
    <row r="75" spans="1:13" ht="15.75" thickBot="1" x14ac:dyDescent="0.3">
      <c r="A75" s="20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</sheetData>
  <mergeCells count="1">
    <mergeCell ref="C1:M1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Y50"/>
  <sheetViews>
    <sheetView topLeftCell="H1" zoomScale="110" zoomScaleNormal="110" zoomScalePageLayoutView="110" workbookViewId="0">
      <selection activeCell="H9" sqref="H9"/>
    </sheetView>
  </sheetViews>
  <sheetFormatPr baseColWidth="10" defaultRowHeight="15" x14ac:dyDescent="0.25"/>
  <cols>
    <col min="4" max="6" width="0" hidden="1" customWidth="1"/>
    <col min="8" max="8" width="25" bestFit="1" customWidth="1"/>
    <col min="9" max="9" width="15.42578125" bestFit="1" customWidth="1"/>
    <col min="14" max="15" width="12.85546875" bestFit="1" customWidth="1"/>
  </cols>
  <sheetData>
    <row r="3" spans="2:25" ht="15.75" thickBot="1" x14ac:dyDescent="0.3"/>
    <row r="4" spans="2:25" ht="17.25" x14ac:dyDescent="0.3">
      <c r="B4" s="8"/>
      <c r="C4" s="8"/>
      <c r="D4" s="8"/>
      <c r="E4" s="8"/>
      <c r="H4" s="35" t="s">
        <v>32</v>
      </c>
      <c r="I4" s="41"/>
      <c r="J4" s="42">
        <v>42005</v>
      </c>
      <c r="K4" s="42">
        <v>42036</v>
      </c>
      <c r="L4" s="42">
        <v>42064</v>
      </c>
      <c r="M4" s="42">
        <v>42095</v>
      </c>
      <c r="N4" s="42">
        <v>42125</v>
      </c>
      <c r="O4" s="42">
        <v>42156</v>
      </c>
      <c r="P4" s="42">
        <v>42186</v>
      </c>
      <c r="Q4" s="42">
        <v>42217</v>
      </c>
      <c r="R4" s="42">
        <v>42248</v>
      </c>
      <c r="S4" s="42">
        <v>42278</v>
      </c>
      <c r="T4" s="42">
        <v>42309</v>
      </c>
      <c r="U4" s="42">
        <v>42339</v>
      </c>
      <c r="V4" s="43" t="s">
        <v>30</v>
      </c>
    </row>
    <row r="5" spans="2:25" ht="15.75" x14ac:dyDescent="0.25">
      <c r="B5" s="17">
        <v>22</v>
      </c>
      <c r="C5" s="28"/>
      <c r="D5" s="9"/>
      <c r="E5" s="9"/>
      <c r="H5" s="36"/>
      <c r="I5" s="33" t="s">
        <v>31</v>
      </c>
      <c r="J5" s="34">
        <v>21</v>
      </c>
      <c r="K5" s="34">
        <v>20</v>
      </c>
      <c r="L5" s="34">
        <v>22</v>
      </c>
      <c r="M5" s="34">
        <v>21</v>
      </c>
      <c r="N5" s="34">
        <v>17</v>
      </c>
      <c r="O5" s="34">
        <v>22</v>
      </c>
      <c r="P5" s="34">
        <v>22</v>
      </c>
      <c r="Q5" s="34">
        <v>21</v>
      </c>
      <c r="R5" s="34">
        <v>22</v>
      </c>
      <c r="S5" s="34">
        <v>22</v>
      </c>
      <c r="T5" s="34">
        <v>20</v>
      </c>
      <c r="U5" s="34">
        <v>22</v>
      </c>
      <c r="V5" s="44">
        <v>252</v>
      </c>
    </row>
    <row r="6" spans="2:25" ht="15.75" x14ac:dyDescent="0.25">
      <c r="B6" s="29"/>
      <c r="C6" s="29"/>
      <c r="D6" s="2"/>
      <c r="E6" s="10"/>
      <c r="H6" s="36">
        <v>1091248</v>
      </c>
      <c r="I6" s="33" t="s">
        <v>25</v>
      </c>
      <c r="J6" s="40">
        <f>H6/I14*21</f>
        <v>90937.333333333343</v>
      </c>
      <c r="K6" s="40">
        <f>H6/I14*K5</f>
        <v>86606.984126984142</v>
      </c>
      <c r="L6" s="40">
        <f>H6/I14*L5</f>
        <v>95267.682539682544</v>
      </c>
      <c r="M6" s="40">
        <f>H6/I14*M5</f>
        <v>90937.333333333343</v>
      </c>
      <c r="N6" s="40">
        <f>H6/I14*N5</f>
        <v>73615.936507936509</v>
      </c>
      <c r="O6" s="40">
        <f>H6/I14*O5</f>
        <v>95267.682539682544</v>
      </c>
      <c r="P6" s="40">
        <f>H6/I14*22</f>
        <v>95267.682539682544</v>
      </c>
      <c r="Q6" s="40">
        <f>H6/I14*Q5</f>
        <v>90937.333333333343</v>
      </c>
      <c r="R6" s="40">
        <f>H6/I14*R5</f>
        <v>95267.682539682544</v>
      </c>
      <c r="S6" s="40">
        <f>S5*J14</f>
        <v>95267.682539682544</v>
      </c>
      <c r="T6" s="40">
        <f>T5*J14</f>
        <v>86606.984126984142</v>
      </c>
      <c r="U6" s="40">
        <f>U5*J14</f>
        <v>95267.682539682544</v>
      </c>
      <c r="V6" s="45">
        <f t="shared" ref="V6:V12" si="0">U6+T6+S6+R6+Q6+P6+O6+N6+M6+L6+K6+J6</f>
        <v>1091248</v>
      </c>
    </row>
    <row r="7" spans="2:25" ht="15.75" x14ac:dyDescent="0.25">
      <c r="B7" s="29">
        <f>1110000/252</f>
        <v>4404.7619047619046</v>
      </c>
      <c r="C7" s="29" t="s">
        <v>21</v>
      </c>
      <c r="D7" s="2"/>
      <c r="E7" s="2"/>
      <c r="H7" s="36">
        <v>521500</v>
      </c>
      <c r="I7" s="33" t="s">
        <v>26</v>
      </c>
      <c r="J7" s="40">
        <f>J5*K14</f>
        <v>43458.333333333328</v>
      </c>
      <c r="K7" s="40">
        <f>K5*K14</f>
        <v>41388.888888888891</v>
      </c>
      <c r="L7" s="40">
        <f>K14*L5</f>
        <v>45527.777777777774</v>
      </c>
      <c r="M7" s="40">
        <f>M5*K14</f>
        <v>43458.333333333328</v>
      </c>
      <c r="N7" s="40">
        <f>N5*K14</f>
        <v>35180.555555555555</v>
      </c>
      <c r="O7" s="40">
        <f>O5*K14</f>
        <v>45527.777777777774</v>
      </c>
      <c r="P7" s="40">
        <f>P5*K14</f>
        <v>45527.777777777774</v>
      </c>
      <c r="Q7" s="40">
        <f>Q5*K14</f>
        <v>43458.333333333328</v>
      </c>
      <c r="R7" s="40">
        <f>R5*K14</f>
        <v>45527.777777777774</v>
      </c>
      <c r="S7" s="40">
        <f>S5*K14</f>
        <v>45527.777777777774</v>
      </c>
      <c r="T7" s="40">
        <f>T5*K14</f>
        <v>41388.888888888891</v>
      </c>
      <c r="U7" s="40">
        <f>U5*K14</f>
        <v>45527.777777777774</v>
      </c>
      <c r="V7" s="45">
        <f t="shared" si="0"/>
        <v>521499.99999999988</v>
      </c>
      <c r="W7">
        <v>545172</v>
      </c>
      <c r="X7" s="39">
        <f>V7-W7</f>
        <v>-23672.000000000116</v>
      </c>
      <c r="Y7">
        <f>X7/252</f>
        <v>-93.936507936508391</v>
      </c>
    </row>
    <row r="8" spans="2:25" ht="15.75" x14ac:dyDescent="0.25">
      <c r="B8" s="30"/>
      <c r="C8" s="30"/>
      <c r="D8" s="11"/>
      <c r="E8" s="11"/>
      <c r="H8" s="36">
        <v>224208</v>
      </c>
      <c r="I8" s="33" t="s">
        <v>27</v>
      </c>
      <c r="J8" s="40">
        <f>J5*L14</f>
        <v>18684</v>
      </c>
      <c r="K8" s="40">
        <f>K5*L14</f>
        <v>17794.285714285714</v>
      </c>
      <c r="L8" s="40">
        <f>L5*L14</f>
        <v>19573.714285714286</v>
      </c>
      <c r="M8" s="40">
        <f>M5*L14</f>
        <v>18684</v>
      </c>
      <c r="N8" s="40">
        <f>N5*L14</f>
        <v>15125.142857142857</v>
      </c>
      <c r="O8" s="40">
        <f>O5*L14</f>
        <v>19573.714285714286</v>
      </c>
      <c r="P8" s="40">
        <f>P5*L14</f>
        <v>19573.714285714286</v>
      </c>
      <c r="Q8" s="40">
        <f>Q5*L14</f>
        <v>18684</v>
      </c>
      <c r="R8" s="40">
        <f>R5*L14</f>
        <v>19573.714285714286</v>
      </c>
      <c r="S8" s="40">
        <f>S5*L14</f>
        <v>19573.714285714286</v>
      </c>
      <c r="T8" s="40">
        <f>T5*L14</f>
        <v>17794.285714285714</v>
      </c>
      <c r="U8" s="40">
        <f>U5*L14</f>
        <v>19573.714285714286</v>
      </c>
      <c r="V8" s="45">
        <f t="shared" si="0"/>
        <v>224208.00000000003</v>
      </c>
      <c r="W8">
        <v>196533</v>
      </c>
      <c r="X8" s="39">
        <f t="shared" ref="X8:X13" si="1">V8-W8</f>
        <v>27675.000000000029</v>
      </c>
      <c r="Y8">
        <f t="shared" ref="Y8:Y13" si="2">X8/252</f>
        <v>109.82142857142868</v>
      </c>
    </row>
    <row r="9" spans="2:25" ht="15.75" x14ac:dyDescent="0.25">
      <c r="B9" s="30"/>
      <c r="C9" s="30"/>
      <c r="D9" s="11"/>
      <c r="E9" s="11"/>
      <c r="H9" s="36">
        <v>684349</v>
      </c>
      <c r="I9" s="33" t="s">
        <v>28</v>
      </c>
      <c r="J9" s="40">
        <f>J5*M14</f>
        <v>57029.083333333328</v>
      </c>
      <c r="K9" s="40">
        <f>K5*M14</f>
        <v>54313.412698412692</v>
      </c>
      <c r="L9" s="40">
        <f>L5*M14</f>
        <v>59744.753968253965</v>
      </c>
      <c r="M9" s="40">
        <f>M5*M14</f>
        <v>57029.083333333328</v>
      </c>
      <c r="N9" s="40">
        <f>N5*M14</f>
        <v>46166.400793650791</v>
      </c>
      <c r="O9" s="40">
        <f>O5*M14</f>
        <v>59744.753968253965</v>
      </c>
      <c r="P9" s="40">
        <f>P5*M14</f>
        <v>59744.753968253965</v>
      </c>
      <c r="Q9" s="40">
        <f>Q5*M14</f>
        <v>57029.083333333328</v>
      </c>
      <c r="R9" s="40">
        <f>R5*M14</f>
        <v>59744.753968253965</v>
      </c>
      <c r="S9" s="40">
        <f>S5*M14</f>
        <v>59744.753968253965</v>
      </c>
      <c r="T9" s="40">
        <f>T5*M14</f>
        <v>54313.412698412692</v>
      </c>
      <c r="U9" s="40">
        <f>U5*M14</f>
        <v>59744.753968253965</v>
      </c>
      <c r="V9" s="45">
        <f t="shared" si="0"/>
        <v>684349</v>
      </c>
      <c r="W9">
        <v>683352</v>
      </c>
      <c r="X9" s="39">
        <f t="shared" si="1"/>
        <v>997</v>
      </c>
      <c r="Y9">
        <f t="shared" si="2"/>
        <v>3.9563492063492065</v>
      </c>
    </row>
    <row r="10" spans="2:25" ht="15.75" x14ac:dyDescent="0.25">
      <c r="B10" s="31">
        <v>91667</v>
      </c>
      <c r="C10" s="31" t="s">
        <v>22</v>
      </c>
      <c r="E10" s="31" t="s">
        <v>24</v>
      </c>
      <c r="F10" s="31">
        <f>B10-B11</f>
        <v>7167</v>
      </c>
      <c r="H10" s="36">
        <v>114000</v>
      </c>
      <c r="I10" s="33" t="s">
        <v>5</v>
      </c>
      <c r="J10" s="40">
        <f>J5*O14</f>
        <v>10274.678111587982</v>
      </c>
      <c r="K10" s="40">
        <f>K5*O14</f>
        <v>9785.4077253218893</v>
      </c>
      <c r="L10" s="40">
        <f>L5*O14</f>
        <v>10763.948497854077</v>
      </c>
      <c r="M10" s="40">
        <f>M5*O14</f>
        <v>10274.678111587982</v>
      </c>
      <c r="N10" s="40">
        <f>N5*O14</f>
        <v>8317.5965665236054</v>
      </c>
      <c r="O10" s="40">
        <f>O5*O14</f>
        <v>10763.948497854077</v>
      </c>
      <c r="P10" s="40">
        <f>P5*O14</f>
        <v>10763.948497854077</v>
      </c>
      <c r="Q10" s="46">
        <f>O14*6</f>
        <v>2935.6223175965665</v>
      </c>
      <c r="R10" s="40">
        <f>R5*O14</f>
        <v>10763.948497854077</v>
      </c>
      <c r="S10" s="40">
        <f>S5*O14</f>
        <v>10763.948497854077</v>
      </c>
      <c r="T10" s="40">
        <f>T5*O14</f>
        <v>9785.4077253218893</v>
      </c>
      <c r="U10" s="46">
        <f>O14*18</f>
        <v>8806.8669527897</v>
      </c>
      <c r="V10" s="45">
        <f t="shared" si="0"/>
        <v>114000</v>
      </c>
      <c r="W10">
        <v>114170</v>
      </c>
      <c r="X10" s="39">
        <f t="shared" si="1"/>
        <v>-170</v>
      </c>
      <c r="Y10">
        <f t="shared" si="2"/>
        <v>-0.67460317460317465</v>
      </c>
    </row>
    <row r="11" spans="2:25" ht="15.75" x14ac:dyDescent="0.25">
      <c r="B11" s="31">
        <v>84500</v>
      </c>
      <c r="C11" s="31" t="s">
        <v>23</v>
      </c>
      <c r="H11" s="36">
        <v>99143</v>
      </c>
      <c r="I11" s="33" t="s">
        <v>6</v>
      </c>
      <c r="J11" s="40">
        <f>J5*P14</f>
        <v>8935.6351931330464</v>
      </c>
      <c r="K11" s="40">
        <f>K5*P14</f>
        <v>8510.1287553648071</v>
      </c>
      <c r="L11" s="40">
        <f>L5*P14</f>
        <v>9361.1416309012875</v>
      </c>
      <c r="M11" s="40">
        <f>M5*P14</f>
        <v>8935.6351931330464</v>
      </c>
      <c r="N11" s="40">
        <f>N5*P14</f>
        <v>7233.6094420600857</v>
      </c>
      <c r="O11" s="40">
        <f>O5*P14</f>
        <v>9361.1416309012875</v>
      </c>
      <c r="P11" s="40">
        <f>P5*P14</f>
        <v>9361.1416309012875</v>
      </c>
      <c r="Q11" s="46">
        <f>P14*6</f>
        <v>2553.038626609442</v>
      </c>
      <c r="R11" s="40">
        <f>R5*P14</f>
        <v>9361.1416309012875</v>
      </c>
      <c r="S11" s="40">
        <f>S5*P14</f>
        <v>9361.1416309012875</v>
      </c>
      <c r="T11" s="40">
        <f>T5*P14</f>
        <v>8510.1287553648071</v>
      </c>
      <c r="U11" s="46">
        <f>P14*18</f>
        <v>7659.1158798283259</v>
      </c>
      <c r="V11" s="45">
        <f t="shared" si="0"/>
        <v>99142.999999999985</v>
      </c>
      <c r="W11">
        <v>99238</v>
      </c>
      <c r="X11" s="39">
        <f t="shared" si="1"/>
        <v>-95.000000000014552</v>
      </c>
      <c r="Y11">
        <f t="shared" si="2"/>
        <v>-0.37698412698418471</v>
      </c>
    </row>
    <row r="12" spans="2:25" ht="16.5" thickBot="1" x14ac:dyDescent="0.3">
      <c r="H12" s="37">
        <v>497000</v>
      </c>
      <c r="I12" s="38" t="s">
        <v>29</v>
      </c>
      <c r="J12" s="47">
        <f>J5*N14</f>
        <v>41416.666666666664</v>
      </c>
      <c r="K12" s="47">
        <f>K5*N14</f>
        <v>39444.444444444445</v>
      </c>
      <c r="L12" s="48">
        <f>L5*N14</f>
        <v>43388.888888888891</v>
      </c>
      <c r="M12" s="48">
        <f>M5*N14</f>
        <v>41416.666666666664</v>
      </c>
      <c r="N12" s="48">
        <f>N5*N14</f>
        <v>33527.777777777774</v>
      </c>
      <c r="O12" s="48">
        <f>O5*N14</f>
        <v>43388.888888888891</v>
      </c>
      <c r="P12" s="48">
        <f>P5*N14</f>
        <v>43388.888888888891</v>
      </c>
      <c r="Q12" s="49">
        <f>Q5*N14</f>
        <v>41416.666666666664</v>
      </c>
      <c r="R12" s="49">
        <f>R5*N14</f>
        <v>43388.888888888891</v>
      </c>
      <c r="S12" s="49">
        <f>S5*N14</f>
        <v>43388.888888888891</v>
      </c>
      <c r="T12" s="49">
        <f>T5*N14</f>
        <v>39444.444444444445</v>
      </c>
      <c r="U12" s="49">
        <f>U5*N14</f>
        <v>43388.888888888891</v>
      </c>
      <c r="V12" s="50">
        <f t="shared" si="0"/>
        <v>497000</v>
      </c>
      <c r="W12">
        <v>497016</v>
      </c>
      <c r="X12" s="39">
        <f t="shared" si="1"/>
        <v>-16</v>
      </c>
      <c r="Y12">
        <f t="shared" si="2"/>
        <v>-6.3492063492063489E-2</v>
      </c>
    </row>
    <row r="13" spans="2:25" ht="15.75" thickBot="1" x14ac:dyDescent="0.3">
      <c r="H13" s="34"/>
      <c r="I13" s="34"/>
      <c r="J13" s="34" t="s">
        <v>25</v>
      </c>
      <c r="K13" s="34" t="s">
        <v>35</v>
      </c>
      <c r="L13" s="34" t="s">
        <v>27</v>
      </c>
      <c r="M13" s="34" t="s">
        <v>36</v>
      </c>
      <c r="N13" s="34" t="s">
        <v>29</v>
      </c>
      <c r="O13" s="34" t="s">
        <v>5</v>
      </c>
      <c r="P13" s="34" t="s">
        <v>6</v>
      </c>
      <c r="Q13" s="32"/>
      <c r="R13" s="32"/>
      <c r="S13" s="32"/>
      <c r="T13" s="32"/>
      <c r="U13" s="32"/>
      <c r="V13" s="51">
        <f>SUM(V6:V12)</f>
        <v>3231448</v>
      </c>
      <c r="X13" s="39">
        <f t="shared" si="1"/>
        <v>3231448</v>
      </c>
      <c r="Y13">
        <f t="shared" si="2"/>
        <v>12823.20634920635</v>
      </c>
    </row>
    <row r="14" spans="2:25" x14ac:dyDescent="0.25">
      <c r="B14" s="31">
        <f>555131/252</f>
        <v>2202.9007936507937</v>
      </c>
      <c r="C14" s="31" t="s">
        <v>21</v>
      </c>
      <c r="H14" s="34" t="s">
        <v>33</v>
      </c>
      <c r="I14" s="34">
        <f>J5+K5+L5+M5+N5+O5+P5+Q5+R5+S5+T5+U5</f>
        <v>252</v>
      </c>
      <c r="J14" s="34">
        <f>H6/I14</f>
        <v>4330.3492063492067</v>
      </c>
      <c r="K14" s="34">
        <f>H7/I14</f>
        <v>2069.4444444444443</v>
      </c>
      <c r="L14" s="34">
        <f>H8/I14</f>
        <v>889.71428571428567</v>
      </c>
      <c r="M14" s="34">
        <f>H9/I14</f>
        <v>2715.6706349206347</v>
      </c>
      <c r="N14" s="34">
        <f>H12/I14</f>
        <v>1972.2222222222222</v>
      </c>
      <c r="O14" s="34">
        <f>H10/I15</f>
        <v>489.27038626609442</v>
      </c>
      <c r="P14" s="34">
        <f>H11/I15</f>
        <v>425.50643776824035</v>
      </c>
      <c r="Q14" s="32"/>
      <c r="R14" s="32"/>
      <c r="S14" s="32"/>
      <c r="T14" s="32"/>
      <c r="U14" s="32"/>
      <c r="V14" s="32"/>
    </row>
    <row r="15" spans="2:25" x14ac:dyDescent="0.25">
      <c r="B15" s="31">
        <v>46260</v>
      </c>
      <c r="C15" s="31" t="s">
        <v>22</v>
      </c>
      <c r="H15" s="34" t="s">
        <v>34</v>
      </c>
      <c r="I15" s="34">
        <f>I14-4-15</f>
        <v>233</v>
      </c>
      <c r="J15" s="34"/>
      <c r="K15" s="34"/>
      <c r="L15" s="34"/>
      <c r="M15" s="34"/>
      <c r="N15" s="34"/>
      <c r="O15" s="34"/>
      <c r="P15" s="34"/>
      <c r="Q15" s="32"/>
      <c r="R15" s="32"/>
      <c r="S15" s="32"/>
      <c r="T15" s="32"/>
      <c r="U15" s="32"/>
      <c r="V15" s="32"/>
    </row>
    <row r="16" spans="2:25" x14ac:dyDescent="0.25">
      <c r="B16" s="31">
        <v>38969</v>
      </c>
      <c r="C16" s="31" t="s">
        <v>23</v>
      </c>
      <c r="E16" s="31" t="s">
        <v>24</v>
      </c>
      <c r="F16" s="31">
        <f>B15-B16</f>
        <v>7291</v>
      </c>
      <c r="H16" s="34"/>
      <c r="I16" s="34"/>
      <c r="J16" s="34"/>
      <c r="K16" s="34"/>
      <c r="L16" s="34"/>
      <c r="M16" s="34"/>
      <c r="N16" s="34"/>
      <c r="O16" s="34"/>
      <c r="P16" s="34"/>
      <c r="Q16" s="32"/>
      <c r="R16" s="32"/>
      <c r="S16" s="32"/>
      <c r="T16" s="32"/>
      <c r="U16" s="32"/>
      <c r="V16" s="32"/>
    </row>
    <row r="19" spans="2:15" x14ac:dyDescent="0.25">
      <c r="H19" s="34"/>
      <c r="I19" s="34" t="s">
        <v>25</v>
      </c>
      <c r="J19" s="34" t="s">
        <v>35</v>
      </c>
      <c r="K19" s="34" t="s">
        <v>27</v>
      </c>
      <c r="L19" s="34" t="s">
        <v>36</v>
      </c>
      <c r="M19" s="34" t="s">
        <v>5</v>
      </c>
      <c r="N19" s="34" t="s">
        <v>6</v>
      </c>
      <c r="O19" s="34" t="s">
        <v>29</v>
      </c>
    </row>
    <row r="20" spans="2:15" x14ac:dyDescent="0.25">
      <c r="B20" s="31">
        <f>235000/252</f>
        <v>932.53968253968253</v>
      </c>
      <c r="C20" s="31" t="s">
        <v>21</v>
      </c>
      <c r="H20" s="34" t="s">
        <v>38</v>
      </c>
      <c r="I20" s="34">
        <v>1015080</v>
      </c>
      <c r="J20" s="34">
        <v>466273</v>
      </c>
      <c r="K20" s="34">
        <v>162400</v>
      </c>
      <c r="L20" s="34">
        <v>651197</v>
      </c>
      <c r="M20" s="34">
        <v>109884</v>
      </c>
      <c r="N20" s="34">
        <v>87960</v>
      </c>
      <c r="O20" s="34">
        <v>459600</v>
      </c>
    </row>
    <row r="21" spans="2:15" x14ac:dyDescent="0.25">
      <c r="B21" s="31">
        <v>19600</v>
      </c>
      <c r="C21" s="31" t="s">
        <v>22</v>
      </c>
      <c r="H21" s="34" t="s">
        <v>37</v>
      </c>
      <c r="I21" s="40">
        <f>V6-I20</f>
        <v>76168</v>
      </c>
      <c r="J21" s="40">
        <f>V7-J20</f>
        <v>55226.999999999884</v>
      </c>
      <c r="K21" s="40">
        <f>V8-K20</f>
        <v>61808.000000000029</v>
      </c>
      <c r="L21" s="40">
        <f>V9-L20</f>
        <v>33152</v>
      </c>
      <c r="M21" s="40">
        <f>V10-M20</f>
        <v>4116</v>
      </c>
      <c r="N21" s="40">
        <f>V11-N20</f>
        <v>11182.999999999985</v>
      </c>
      <c r="O21" s="40">
        <f>V12-O20</f>
        <v>37400</v>
      </c>
    </row>
    <row r="22" spans="2:15" x14ac:dyDescent="0.25">
      <c r="B22" s="31">
        <v>13623</v>
      </c>
      <c r="C22" s="31" t="s">
        <v>23</v>
      </c>
      <c r="H22" s="34" t="s">
        <v>39</v>
      </c>
      <c r="I22" s="40">
        <f t="shared" ref="I22:O22" si="3">I21/12</f>
        <v>6347.333333333333</v>
      </c>
      <c r="J22" s="40">
        <f t="shared" si="3"/>
        <v>4602.24999999999</v>
      </c>
      <c r="K22" s="40">
        <f t="shared" si="3"/>
        <v>5150.6666666666688</v>
      </c>
      <c r="L22" s="40">
        <f t="shared" si="3"/>
        <v>2762.6666666666665</v>
      </c>
      <c r="M22" s="40">
        <f t="shared" si="3"/>
        <v>343</v>
      </c>
      <c r="N22" s="40">
        <f t="shared" si="3"/>
        <v>931.91666666666549</v>
      </c>
      <c r="O22" s="40">
        <f t="shared" si="3"/>
        <v>3116.6666666666665</v>
      </c>
    </row>
    <row r="23" spans="2:15" x14ac:dyDescent="0.25">
      <c r="B23" s="31"/>
      <c r="C23" s="31"/>
      <c r="E23" t="s">
        <v>24</v>
      </c>
      <c r="F23">
        <f>B21-B22</f>
        <v>5977</v>
      </c>
    </row>
    <row r="28" spans="2:15" x14ac:dyDescent="0.25">
      <c r="B28" s="31">
        <f>667700/252</f>
        <v>2649.6031746031745</v>
      </c>
      <c r="C28" s="31" t="s">
        <v>21</v>
      </c>
    </row>
    <row r="29" spans="2:15" x14ac:dyDescent="0.25">
      <c r="B29" s="31">
        <v>55639</v>
      </c>
      <c r="C29" s="31" t="s">
        <v>22</v>
      </c>
    </row>
    <row r="30" spans="2:15" x14ac:dyDescent="0.25">
      <c r="B30" s="31">
        <v>55461</v>
      </c>
      <c r="C30" s="31" t="s">
        <v>23</v>
      </c>
    </row>
    <row r="31" spans="2:15" x14ac:dyDescent="0.25">
      <c r="B31" s="31"/>
      <c r="C31" s="31"/>
      <c r="E31" s="31" t="s">
        <v>24</v>
      </c>
      <c r="F31" s="31">
        <f>B29-B30</f>
        <v>178</v>
      </c>
    </row>
    <row r="34" spans="2:6" x14ac:dyDescent="0.25">
      <c r="B34" s="31">
        <f>111035/233</f>
        <v>476.54506437768242</v>
      </c>
      <c r="C34" s="31" t="s">
        <v>21</v>
      </c>
    </row>
    <row r="35" spans="2:6" x14ac:dyDescent="0.25">
      <c r="B35" s="31">
        <v>9252</v>
      </c>
      <c r="C35" s="31" t="s">
        <v>22</v>
      </c>
    </row>
    <row r="36" spans="2:6" x14ac:dyDescent="0.25">
      <c r="B36" s="31">
        <v>10013</v>
      </c>
      <c r="C36" s="31" t="s">
        <v>23</v>
      </c>
      <c r="E36" s="31" t="s">
        <v>24</v>
      </c>
      <c r="F36" s="31">
        <f>B35-B36</f>
        <v>-761</v>
      </c>
    </row>
    <row r="41" spans="2:6" x14ac:dyDescent="0.25">
      <c r="B41" s="31">
        <f>96562/233</f>
        <v>414.42918454935625</v>
      </c>
      <c r="C41" s="31" t="s">
        <v>21</v>
      </c>
    </row>
    <row r="42" spans="2:6" x14ac:dyDescent="0.25">
      <c r="B42" s="31">
        <v>8046</v>
      </c>
      <c r="C42" s="31" t="s">
        <v>22</v>
      </c>
    </row>
    <row r="43" spans="2:6" x14ac:dyDescent="0.25">
      <c r="B43" s="31">
        <v>7239</v>
      </c>
      <c r="C43" s="31" t="s">
        <v>23</v>
      </c>
    </row>
    <row r="44" spans="2:6" x14ac:dyDescent="0.25">
      <c r="B44" s="31"/>
      <c r="C44" s="31"/>
      <c r="E44" s="31" t="s">
        <v>24</v>
      </c>
      <c r="F44" s="31">
        <f>B42-B43</f>
        <v>807</v>
      </c>
    </row>
    <row r="47" spans="2:6" x14ac:dyDescent="0.25">
      <c r="B47" s="31"/>
      <c r="C47" s="31"/>
    </row>
    <row r="48" spans="2:6" x14ac:dyDescent="0.25">
      <c r="B48" s="31">
        <f>490800/252</f>
        <v>1947.6190476190477</v>
      </c>
      <c r="C48" s="31" t="s">
        <v>21</v>
      </c>
    </row>
    <row r="49" spans="2:6" x14ac:dyDescent="0.25">
      <c r="B49" s="31">
        <v>40900</v>
      </c>
      <c r="C49" s="31" t="s">
        <v>22</v>
      </c>
    </row>
    <row r="50" spans="2:6" x14ac:dyDescent="0.25">
      <c r="B50" s="31">
        <v>38323</v>
      </c>
      <c r="C50" s="31" t="s">
        <v>23</v>
      </c>
      <c r="E50" s="31" t="s">
        <v>24</v>
      </c>
      <c r="F50" s="31">
        <f>B49-B50</f>
        <v>2577</v>
      </c>
    </row>
  </sheetData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Janvier 2018</vt:lpstr>
      <vt:lpstr>Février 2018</vt:lpstr>
      <vt:lpstr>Mars 2018</vt:lpstr>
      <vt:lpstr>Avril 2018</vt:lpstr>
      <vt:lpstr>Mai 2018</vt:lpstr>
      <vt:lpstr>Juin 2018</vt:lpstr>
      <vt:lpstr>Juillet 2018</vt:lpstr>
      <vt:lpstr>Aout 2018</vt:lpstr>
      <vt:lpstr>Septembre 2018</vt:lpstr>
      <vt:lpstr>Octobre 2018</vt:lpstr>
      <vt:lpstr>Novembre 2018</vt:lpstr>
      <vt:lpstr>Décembre 2018</vt:lpstr>
      <vt:lpstr>Cumul 2018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WS342</dc:creator>
  <cp:lastModifiedBy>ws149</cp:lastModifiedBy>
  <cp:lastPrinted>2015-12-07T16:13:34Z</cp:lastPrinted>
  <dcterms:created xsi:type="dcterms:W3CDTF">2014-01-16T07:24:23Z</dcterms:created>
  <dcterms:modified xsi:type="dcterms:W3CDTF">2018-08-27T15:16:17Z</dcterms:modified>
</cp:coreProperties>
</file>